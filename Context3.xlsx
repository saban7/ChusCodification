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sabanov/Desktop/"/>
    </mc:Choice>
  </mc:AlternateContent>
  <xr:revisionPtr revIDLastSave="0" documentId="8_{14AAD03E-4F9D-9741-A1E8-E3A411440BA4}" xr6:coauthVersionLast="47" xr6:coauthVersionMax="47" xr10:uidLastSave="{00000000-0000-0000-0000-000000000000}"/>
  <bookViews>
    <workbookView xWindow="0" yWindow="760" windowWidth="30240" windowHeight="17080" activeTab="2" xr2:uid="{00000000-000D-0000-FFFF-FFFF00000000}"/>
  </bookViews>
  <sheets>
    <sheet name="Codes" sheetId="1" r:id="rId1"/>
    <sheet name="human" sheetId="2" r:id="rId2"/>
    <sheet name="Contex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0" i="3" l="1"/>
  <c r="D90" i="3"/>
  <c r="C90" i="3"/>
  <c r="B90" i="3"/>
  <c r="A90" i="3"/>
  <c r="E89" i="3"/>
  <c r="D89" i="3"/>
  <c r="C89" i="3"/>
  <c r="B89" i="3"/>
  <c r="A89" i="3"/>
  <c r="E88" i="3"/>
  <c r="D88" i="3"/>
  <c r="C88" i="3"/>
  <c r="B88" i="3"/>
  <c r="A88" i="3"/>
  <c r="E87" i="3"/>
  <c r="D87" i="3"/>
  <c r="C87" i="3"/>
  <c r="B87" i="3"/>
  <c r="A87" i="3"/>
  <c r="E86" i="3"/>
  <c r="D86" i="3"/>
  <c r="C86" i="3"/>
  <c r="B86" i="3"/>
  <c r="A86" i="3"/>
  <c r="E85" i="3"/>
  <c r="D85" i="3"/>
  <c r="C85" i="3"/>
  <c r="B85" i="3"/>
  <c r="A85" i="3"/>
  <c r="E84" i="3"/>
  <c r="D84" i="3"/>
  <c r="C84" i="3"/>
  <c r="B84" i="3"/>
  <c r="A84" i="3"/>
  <c r="E83" i="3"/>
  <c r="D83" i="3"/>
  <c r="C83" i="3"/>
  <c r="B83" i="3"/>
  <c r="A83" i="3"/>
  <c r="E82" i="3"/>
  <c r="D82" i="3"/>
  <c r="C82" i="3"/>
  <c r="B82" i="3"/>
  <c r="A82" i="3"/>
  <c r="E81" i="3"/>
  <c r="D81" i="3"/>
  <c r="C81" i="3"/>
  <c r="B81" i="3"/>
  <c r="A81" i="3"/>
  <c r="E80" i="3"/>
  <c r="D80" i="3"/>
  <c r="C80" i="3"/>
  <c r="B80" i="3"/>
  <c r="A80" i="3"/>
  <c r="E79" i="3"/>
  <c r="D79" i="3"/>
  <c r="C79" i="3"/>
  <c r="B79" i="3"/>
  <c r="A79" i="3"/>
  <c r="E78" i="3"/>
  <c r="D78" i="3"/>
  <c r="C78" i="3"/>
  <c r="B78" i="3"/>
  <c r="A78" i="3"/>
  <c r="E77" i="3"/>
  <c r="D77" i="3"/>
  <c r="C77" i="3"/>
  <c r="B77" i="3"/>
  <c r="A77" i="3"/>
  <c r="E76" i="3"/>
  <c r="D76" i="3"/>
  <c r="C76" i="3"/>
  <c r="B76" i="3"/>
  <c r="A76" i="3"/>
  <c r="E75" i="3"/>
  <c r="D75" i="3"/>
  <c r="C75" i="3"/>
  <c r="B75" i="3"/>
  <c r="A75" i="3"/>
  <c r="E74" i="3"/>
  <c r="D74" i="3"/>
  <c r="C74" i="3"/>
  <c r="B74" i="3"/>
  <c r="A74" i="3"/>
  <c r="E73" i="3"/>
  <c r="D73" i="3"/>
  <c r="C73" i="3"/>
  <c r="B73" i="3"/>
  <c r="A73" i="3"/>
  <c r="E72" i="3"/>
  <c r="D72" i="3"/>
  <c r="C72" i="3"/>
  <c r="B72" i="3"/>
  <c r="A72" i="3"/>
  <c r="E71" i="3"/>
  <c r="D71" i="3"/>
  <c r="C71" i="3"/>
  <c r="B71" i="3"/>
  <c r="A71" i="3"/>
  <c r="E70" i="3"/>
  <c r="D70" i="3"/>
  <c r="C70" i="3"/>
  <c r="B70" i="3"/>
  <c r="A70" i="3"/>
  <c r="E69" i="3"/>
  <c r="D69" i="3"/>
  <c r="C69" i="3"/>
  <c r="B69" i="3"/>
  <c r="A69" i="3"/>
  <c r="E68" i="3"/>
  <c r="D68" i="3"/>
  <c r="C68" i="3"/>
  <c r="B68" i="3"/>
  <c r="A68" i="3"/>
  <c r="E67" i="3"/>
  <c r="D67" i="3"/>
  <c r="C67" i="3"/>
  <c r="B67" i="3"/>
  <c r="A67" i="3"/>
  <c r="E66" i="3"/>
  <c r="D66" i="3"/>
  <c r="C66" i="3"/>
  <c r="B66" i="3"/>
  <c r="A66" i="3"/>
  <c r="E65" i="3"/>
  <c r="D65" i="3"/>
  <c r="C65" i="3"/>
  <c r="B65" i="3"/>
  <c r="A65" i="3"/>
  <c r="E64" i="3"/>
  <c r="D64" i="3"/>
  <c r="C64" i="3"/>
  <c r="B64" i="3"/>
  <c r="A64" i="3"/>
  <c r="E63" i="3"/>
  <c r="D63" i="3"/>
  <c r="C63" i="3"/>
  <c r="B63" i="3"/>
  <c r="A63" i="3"/>
  <c r="E62" i="3"/>
  <c r="D62" i="3"/>
  <c r="C62" i="3"/>
  <c r="B62" i="3"/>
  <c r="A62" i="3"/>
  <c r="E61" i="3"/>
  <c r="D61" i="3"/>
  <c r="C61" i="3"/>
  <c r="B61" i="3"/>
  <c r="A61" i="3"/>
  <c r="E60" i="3"/>
  <c r="D60" i="3"/>
  <c r="C60" i="3"/>
  <c r="B60" i="3"/>
  <c r="A60" i="3"/>
  <c r="E59" i="3"/>
  <c r="D59" i="3"/>
  <c r="C59" i="3"/>
  <c r="B59" i="3"/>
  <c r="A59" i="3"/>
  <c r="E58" i="3"/>
  <c r="D58" i="3"/>
  <c r="C58" i="3"/>
  <c r="B58" i="3"/>
  <c r="A58" i="3"/>
  <c r="E57" i="3"/>
  <c r="D57" i="3"/>
  <c r="C57" i="3"/>
  <c r="B57" i="3"/>
  <c r="A57" i="3"/>
  <c r="E56" i="3"/>
  <c r="D56" i="3"/>
  <c r="C56" i="3"/>
  <c r="B56" i="3"/>
  <c r="A56" i="3"/>
  <c r="E55" i="3"/>
  <c r="D55" i="3"/>
  <c r="C55" i="3"/>
  <c r="B55" i="3"/>
  <c r="A55" i="3"/>
  <c r="E54" i="3"/>
  <c r="D54" i="3"/>
  <c r="C54" i="3"/>
  <c r="B54" i="3"/>
  <c r="A54" i="3"/>
  <c r="E53" i="3"/>
  <c r="D53" i="3"/>
  <c r="C53" i="3"/>
  <c r="B53" i="3"/>
  <c r="A53" i="3"/>
  <c r="E52" i="3"/>
  <c r="D52" i="3"/>
  <c r="C52" i="3"/>
  <c r="B52" i="3"/>
  <c r="A52" i="3"/>
  <c r="E51" i="3"/>
  <c r="D51" i="3"/>
  <c r="C51" i="3"/>
  <c r="B51" i="3"/>
  <c r="A51" i="3"/>
  <c r="E50" i="3"/>
  <c r="D50" i="3"/>
  <c r="C50" i="3"/>
  <c r="B50" i="3"/>
  <c r="A50" i="3"/>
  <c r="E49" i="3"/>
  <c r="D49" i="3"/>
  <c r="C49" i="3"/>
  <c r="B49" i="3"/>
  <c r="A49" i="3"/>
  <c r="E48" i="3"/>
  <c r="D48" i="3"/>
  <c r="C48" i="3"/>
  <c r="B48" i="3"/>
  <c r="A48" i="3"/>
  <c r="E47" i="3"/>
  <c r="D47" i="3"/>
  <c r="C47" i="3"/>
  <c r="B47" i="3"/>
  <c r="A47" i="3"/>
  <c r="E46" i="3"/>
  <c r="D46" i="3"/>
  <c r="C46" i="3"/>
  <c r="B46" i="3"/>
  <c r="A46" i="3"/>
  <c r="E45" i="3"/>
  <c r="D45" i="3"/>
  <c r="C45" i="3"/>
  <c r="B45" i="3"/>
  <c r="A45" i="3"/>
  <c r="E44" i="3"/>
  <c r="D44" i="3"/>
  <c r="C44" i="3"/>
  <c r="B44" i="3"/>
  <c r="A44" i="3"/>
  <c r="E43" i="3"/>
  <c r="D43" i="3"/>
  <c r="C43" i="3"/>
  <c r="B43" i="3"/>
  <c r="A43" i="3"/>
  <c r="E42" i="3"/>
  <c r="D42" i="3"/>
  <c r="C42" i="3"/>
  <c r="B42" i="3"/>
  <c r="A42" i="3"/>
  <c r="E41" i="3"/>
  <c r="D41" i="3"/>
  <c r="C41" i="3"/>
  <c r="B41" i="3"/>
  <c r="A41" i="3"/>
  <c r="E40" i="3"/>
  <c r="D40" i="3"/>
  <c r="C40" i="3"/>
  <c r="B40" i="3"/>
  <c r="A40" i="3"/>
  <c r="E39" i="3"/>
  <c r="D39" i="3"/>
  <c r="C39" i="3"/>
  <c r="B39" i="3"/>
  <c r="A39" i="3"/>
  <c r="E38" i="3"/>
  <c r="D38" i="3"/>
  <c r="C38" i="3"/>
  <c r="B38" i="3"/>
  <c r="A38" i="3"/>
  <c r="E37" i="3"/>
  <c r="D37" i="3"/>
  <c r="C37" i="3"/>
  <c r="B37" i="3"/>
  <c r="A37" i="3"/>
  <c r="E36" i="3"/>
  <c r="D36" i="3"/>
  <c r="C36" i="3"/>
  <c r="B36" i="3"/>
  <c r="A36" i="3"/>
  <c r="E35" i="3"/>
  <c r="D35" i="3"/>
  <c r="C35" i="3"/>
  <c r="B35" i="3"/>
  <c r="A35" i="3"/>
  <c r="E34" i="3"/>
  <c r="D34" i="3"/>
  <c r="C34" i="3"/>
  <c r="B34" i="3"/>
  <c r="A34" i="3"/>
  <c r="E33" i="3"/>
  <c r="D33" i="3"/>
  <c r="C33" i="3"/>
  <c r="B33" i="3"/>
  <c r="A33" i="3"/>
  <c r="E32" i="3"/>
  <c r="D32" i="3"/>
  <c r="C32" i="3"/>
  <c r="B32" i="3"/>
  <c r="A32" i="3"/>
  <c r="E31" i="3"/>
  <c r="D31" i="3"/>
  <c r="C31" i="3"/>
  <c r="B31" i="3"/>
  <c r="A31" i="3"/>
  <c r="E30" i="3"/>
  <c r="D30" i="3"/>
  <c r="C30" i="3"/>
  <c r="B30" i="3"/>
  <c r="A30" i="3"/>
  <c r="E29" i="3"/>
  <c r="D29" i="3"/>
  <c r="C29" i="3"/>
  <c r="B29" i="3"/>
  <c r="A29" i="3"/>
  <c r="E28" i="3"/>
  <c r="D28" i="3"/>
  <c r="C28" i="3"/>
  <c r="B28" i="3"/>
  <c r="A28" i="3"/>
  <c r="E27" i="3"/>
  <c r="D27" i="3"/>
  <c r="C27" i="3"/>
  <c r="B27" i="3"/>
  <c r="A27" i="3"/>
  <c r="E26" i="3"/>
  <c r="D26" i="3"/>
  <c r="C26" i="3"/>
  <c r="B26" i="3"/>
  <c r="A26" i="3"/>
  <c r="E25" i="3"/>
  <c r="D25" i="3"/>
  <c r="C25" i="3"/>
  <c r="B25" i="3"/>
  <c r="A25" i="3"/>
  <c r="E24" i="3"/>
  <c r="D24" i="3"/>
  <c r="C24" i="3"/>
  <c r="B24" i="3"/>
  <c r="A24" i="3"/>
  <c r="E23" i="3"/>
  <c r="D23" i="3"/>
  <c r="C23" i="3"/>
  <c r="B23" i="3"/>
  <c r="A23" i="3"/>
  <c r="E22" i="3"/>
  <c r="D22" i="3"/>
  <c r="C22" i="3"/>
  <c r="B22" i="3"/>
  <c r="A22" i="3"/>
  <c r="E21" i="3"/>
  <c r="D21" i="3"/>
  <c r="C21" i="3"/>
  <c r="B21" i="3"/>
  <c r="A21" i="3"/>
  <c r="E20" i="3"/>
  <c r="D20" i="3"/>
  <c r="C20" i="3"/>
  <c r="B20" i="3"/>
  <c r="A20" i="3"/>
  <c r="E19" i="3"/>
  <c r="D19" i="3"/>
  <c r="C19" i="3"/>
  <c r="B19" i="3"/>
  <c r="A19" i="3"/>
  <c r="E18" i="3"/>
  <c r="D18" i="3"/>
  <c r="C18" i="3"/>
  <c r="B18" i="3"/>
  <c r="A18" i="3"/>
  <c r="E17" i="3"/>
  <c r="D17" i="3"/>
  <c r="C17" i="3"/>
  <c r="B17" i="3"/>
  <c r="A17" i="3"/>
  <c r="E16" i="3"/>
  <c r="D16" i="3"/>
  <c r="C16" i="3"/>
  <c r="B16" i="3"/>
  <c r="A16" i="3"/>
  <c r="E15" i="3"/>
  <c r="D15" i="3"/>
  <c r="C15" i="3"/>
  <c r="B15" i="3"/>
  <c r="A15" i="3"/>
  <c r="E14" i="3"/>
  <c r="D14" i="3"/>
  <c r="C14" i="3"/>
  <c r="B14" i="3"/>
  <c r="A14" i="3"/>
  <c r="E13" i="3"/>
  <c r="D13" i="3"/>
  <c r="C13" i="3"/>
  <c r="B13" i="3"/>
  <c r="A13" i="3"/>
  <c r="E12" i="3"/>
  <c r="D12" i="3"/>
  <c r="C12" i="3"/>
  <c r="B12" i="3"/>
  <c r="A12" i="3"/>
  <c r="E11" i="3"/>
  <c r="D11" i="3"/>
  <c r="C11" i="3"/>
  <c r="B11" i="3"/>
  <c r="A11" i="3"/>
  <c r="E10" i="3"/>
  <c r="D10" i="3"/>
  <c r="C10" i="3"/>
  <c r="B10" i="3"/>
  <c r="A10" i="3"/>
  <c r="E9" i="3"/>
  <c r="D9" i="3"/>
  <c r="C9" i="3"/>
  <c r="B9" i="3"/>
  <c r="A9" i="3"/>
  <c r="E8" i="3"/>
  <c r="D8" i="3"/>
  <c r="C8" i="3"/>
  <c r="B8" i="3"/>
  <c r="A8" i="3"/>
  <c r="E7" i="3"/>
  <c r="D7" i="3"/>
  <c r="C7" i="3"/>
  <c r="B7" i="3"/>
  <c r="A7" i="3"/>
  <c r="E6" i="3"/>
  <c r="D6" i="3"/>
  <c r="C6" i="3"/>
  <c r="B6" i="3"/>
  <c r="A6" i="3"/>
  <c r="E5" i="3"/>
  <c r="D5" i="3"/>
  <c r="C5" i="3"/>
  <c r="B5" i="3"/>
  <c r="A5" i="3"/>
  <c r="E4" i="3"/>
  <c r="D4" i="3"/>
  <c r="C4" i="3"/>
  <c r="B4" i="3"/>
  <c r="A4" i="3"/>
  <c r="E3" i="3"/>
  <c r="D3" i="3"/>
  <c r="C3" i="3"/>
  <c r="B3" i="3"/>
  <c r="A3" i="3"/>
  <c r="E2" i="3"/>
  <c r="D2" i="3"/>
  <c r="C2" i="3"/>
  <c r="B2" i="3"/>
  <c r="A2" i="3"/>
  <c r="E1" i="3"/>
  <c r="D1" i="3"/>
  <c r="C1" i="3"/>
  <c r="B1" i="3"/>
  <c r="A1" i="3"/>
  <c r="E90" i="2"/>
  <c r="D90" i="2"/>
  <c r="C90" i="2"/>
  <c r="B90" i="2"/>
  <c r="A90" i="2"/>
  <c r="E89" i="2"/>
  <c r="D89" i="2"/>
  <c r="C89" i="2"/>
  <c r="B89" i="2"/>
  <c r="A89" i="2"/>
  <c r="E88" i="2"/>
  <c r="D88" i="2"/>
  <c r="C88" i="2"/>
  <c r="B88" i="2"/>
  <c r="A88" i="2"/>
  <c r="E87" i="2"/>
  <c r="D87" i="2"/>
  <c r="C87" i="2"/>
  <c r="B87" i="2"/>
  <c r="A87" i="2"/>
  <c r="E86" i="2"/>
  <c r="D86" i="2"/>
  <c r="C86" i="2"/>
  <c r="B86" i="2"/>
  <c r="A86" i="2"/>
  <c r="E85" i="2"/>
  <c r="D85" i="2"/>
  <c r="C85" i="2"/>
  <c r="B85" i="2"/>
  <c r="A85" i="2"/>
  <c r="E84" i="2"/>
  <c r="D84" i="2"/>
  <c r="C84" i="2"/>
  <c r="B84" i="2"/>
  <c r="A84" i="2"/>
  <c r="E83" i="2"/>
  <c r="D83" i="2"/>
  <c r="C83" i="2"/>
  <c r="B83" i="2"/>
  <c r="A83" i="2"/>
  <c r="E82" i="2"/>
  <c r="D82" i="2"/>
  <c r="C82" i="2"/>
  <c r="B82" i="2"/>
  <c r="A82" i="2"/>
  <c r="E81" i="2"/>
  <c r="D81" i="2"/>
  <c r="C81" i="2"/>
  <c r="B81" i="2"/>
  <c r="A81" i="2"/>
  <c r="E80" i="2"/>
  <c r="D80" i="2"/>
  <c r="C80" i="2"/>
  <c r="B80" i="2"/>
  <c r="A80" i="2"/>
  <c r="E79" i="2"/>
  <c r="D79" i="2"/>
  <c r="C79" i="2"/>
  <c r="B79" i="2"/>
  <c r="A79" i="2"/>
  <c r="E78" i="2"/>
  <c r="D78" i="2"/>
  <c r="C78" i="2"/>
  <c r="B78" i="2"/>
  <c r="A78" i="2"/>
  <c r="E77" i="2"/>
  <c r="D77" i="2"/>
  <c r="C77" i="2"/>
  <c r="B77" i="2"/>
  <c r="A77" i="2"/>
  <c r="E76" i="2"/>
  <c r="D76" i="2"/>
  <c r="C76" i="2"/>
  <c r="B76" i="2"/>
  <c r="A76" i="2"/>
  <c r="E75" i="2"/>
  <c r="D75" i="2"/>
  <c r="C75" i="2"/>
  <c r="B75" i="2"/>
  <c r="A75" i="2"/>
  <c r="E74" i="2"/>
  <c r="D74" i="2"/>
  <c r="C74" i="2"/>
  <c r="B74" i="2"/>
  <c r="A74" i="2"/>
  <c r="E73" i="2"/>
  <c r="D73" i="2"/>
  <c r="C73" i="2"/>
  <c r="B73" i="2"/>
  <c r="A73" i="2"/>
  <c r="E72" i="2"/>
  <c r="D72" i="2"/>
  <c r="C72" i="2"/>
  <c r="B72" i="2"/>
  <c r="A72" i="2"/>
  <c r="E71" i="2"/>
  <c r="D71" i="2"/>
  <c r="C71" i="2"/>
  <c r="B71" i="2"/>
  <c r="A71" i="2"/>
  <c r="E70" i="2"/>
  <c r="D70" i="2"/>
  <c r="C70" i="2"/>
  <c r="B70" i="2"/>
  <c r="A70" i="2"/>
  <c r="E69" i="2"/>
  <c r="D69" i="2"/>
  <c r="C69" i="2"/>
  <c r="B69" i="2"/>
  <c r="A69" i="2"/>
  <c r="E68" i="2"/>
  <c r="D68" i="2"/>
  <c r="C68" i="2"/>
  <c r="B68" i="2"/>
  <c r="A68" i="2"/>
  <c r="E67" i="2"/>
  <c r="D67" i="2"/>
  <c r="C67" i="2"/>
  <c r="B67" i="2"/>
  <c r="A67" i="2"/>
  <c r="E66" i="2"/>
  <c r="D66" i="2"/>
  <c r="C66" i="2"/>
  <c r="B66" i="2"/>
  <c r="A66" i="2"/>
  <c r="E65" i="2"/>
  <c r="D65" i="2"/>
  <c r="C65" i="2"/>
  <c r="B65" i="2"/>
  <c r="A65" i="2"/>
  <c r="E64" i="2"/>
  <c r="D64" i="2"/>
  <c r="C64" i="2"/>
  <c r="B64" i="2"/>
  <c r="A64" i="2"/>
  <c r="E63" i="2"/>
  <c r="D63" i="2"/>
  <c r="C63" i="2"/>
  <c r="B63" i="2"/>
  <c r="A63" i="2"/>
  <c r="E62" i="2"/>
  <c r="D62" i="2"/>
  <c r="C62" i="2"/>
  <c r="B62" i="2"/>
  <c r="A62" i="2"/>
  <c r="E61" i="2"/>
  <c r="D61" i="2"/>
  <c r="C61" i="2"/>
  <c r="B61" i="2"/>
  <c r="A61" i="2"/>
  <c r="E60" i="2"/>
  <c r="D60" i="2"/>
  <c r="C60" i="2"/>
  <c r="B60" i="2"/>
  <c r="A60" i="2"/>
  <c r="E59" i="2"/>
  <c r="D59" i="2"/>
  <c r="C59" i="2"/>
  <c r="B59" i="2"/>
  <c r="A59" i="2"/>
  <c r="E58" i="2"/>
  <c r="D58" i="2"/>
  <c r="C58" i="2"/>
  <c r="B58" i="2"/>
  <c r="A58" i="2"/>
  <c r="E57" i="2"/>
  <c r="D57" i="2"/>
  <c r="C57" i="2"/>
  <c r="B57" i="2"/>
  <c r="A57" i="2"/>
  <c r="E56" i="2"/>
  <c r="D56" i="2"/>
  <c r="C56" i="2"/>
  <c r="B56" i="2"/>
  <c r="A56" i="2"/>
  <c r="E55" i="2"/>
  <c r="D55" i="2"/>
  <c r="C55" i="2"/>
  <c r="B55" i="2"/>
  <c r="A55" i="2"/>
  <c r="E54" i="2"/>
  <c r="D54" i="2"/>
  <c r="C54" i="2"/>
  <c r="B54" i="2"/>
  <c r="A54" i="2"/>
  <c r="E53" i="2"/>
  <c r="D53" i="2"/>
  <c r="C53" i="2"/>
  <c r="B53" i="2"/>
  <c r="A53" i="2"/>
  <c r="E52" i="2"/>
  <c r="D52" i="2"/>
  <c r="C52" i="2"/>
  <c r="B52" i="2"/>
  <c r="A52" i="2"/>
  <c r="E51" i="2"/>
  <c r="D51" i="2"/>
  <c r="C51" i="2"/>
  <c r="B51" i="2"/>
  <c r="A51" i="2"/>
  <c r="E50" i="2"/>
  <c r="D50" i="2"/>
  <c r="C50" i="2"/>
  <c r="B50" i="2"/>
  <c r="A50" i="2"/>
  <c r="E49" i="2"/>
  <c r="D49" i="2"/>
  <c r="C49" i="2"/>
  <c r="B49" i="2"/>
  <c r="A49" i="2"/>
  <c r="E48" i="2"/>
  <c r="D48" i="2"/>
  <c r="C48" i="2"/>
  <c r="B48" i="2"/>
  <c r="A48" i="2"/>
  <c r="E47" i="2"/>
  <c r="D47" i="2"/>
  <c r="C47" i="2"/>
  <c r="B47" i="2"/>
  <c r="A47" i="2"/>
  <c r="E46" i="2"/>
  <c r="D46" i="2"/>
  <c r="C46" i="2"/>
  <c r="B46" i="2"/>
  <c r="A46" i="2"/>
  <c r="E45" i="2"/>
  <c r="D45" i="2"/>
  <c r="C45" i="2"/>
  <c r="B45" i="2"/>
  <c r="A45" i="2"/>
  <c r="E44" i="2"/>
  <c r="D44" i="2"/>
  <c r="C44" i="2"/>
  <c r="B44" i="2"/>
  <c r="A44" i="2"/>
  <c r="E43" i="2"/>
  <c r="D43" i="2"/>
  <c r="C43" i="2"/>
  <c r="B43" i="2"/>
  <c r="A43" i="2"/>
  <c r="E42" i="2"/>
  <c r="D42" i="2"/>
  <c r="C42" i="2"/>
  <c r="B42" i="2"/>
  <c r="A42" i="2"/>
  <c r="E41" i="2"/>
  <c r="D41" i="2"/>
  <c r="C41" i="2"/>
  <c r="B41" i="2"/>
  <c r="A41" i="2"/>
  <c r="E40" i="2"/>
  <c r="D40" i="2"/>
  <c r="C40" i="2"/>
  <c r="B40" i="2"/>
  <c r="A40" i="2"/>
  <c r="E39" i="2"/>
  <c r="D39" i="2"/>
  <c r="C39" i="2"/>
  <c r="B39" i="2"/>
  <c r="A39" i="2"/>
  <c r="E38" i="2"/>
  <c r="D38" i="2"/>
  <c r="C38" i="2"/>
  <c r="B38" i="2"/>
  <c r="A38" i="2"/>
  <c r="E37" i="2"/>
  <c r="D37" i="2"/>
  <c r="C37" i="2"/>
  <c r="B37" i="2"/>
  <c r="A37" i="2"/>
  <c r="E36" i="2"/>
  <c r="D36" i="2"/>
  <c r="C36" i="2"/>
  <c r="B36" i="2"/>
  <c r="A36" i="2"/>
  <c r="E35" i="2"/>
  <c r="D35" i="2"/>
  <c r="C35" i="2"/>
  <c r="B35" i="2"/>
  <c r="A35" i="2"/>
  <c r="E34" i="2"/>
  <c r="D34" i="2"/>
  <c r="C34" i="2"/>
  <c r="B34" i="2"/>
  <c r="A34" i="2"/>
  <c r="E33" i="2"/>
  <c r="D33" i="2"/>
  <c r="C33" i="2"/>
  <c r="B33" i="2"/>
  <c r="A33" i="2"/>
  <c r="E32" i="2"/>
  <c r="D32" i="2"/>
  <c r="C32" i="2"/>
  <c r="B32" i="2"/>
  <c r="A32" i="2"/>
  <c r="E31" i="2"/>
  <c r="D31" i="2"/>
  <c r="C31" i="2"/>
  <c r="B31" i="2"/>
  <c r="A31" i="2"/>
  <c r="E30" i="2"/>
  <c r="D30" i="2"/>
  <c r="C30" i="2"/>
  <c r="B30" i="2"/>
  <c r="A30" i="2"/>
  <c r="E29" i="2"/>
  <c r="D29" i="2"/>
  <c r="C29" i="2"/>
  <c r="B29" i="2"/>
  <c r="A29" i="2"/>
  <c r="E28" i="2"/>
  <c r="D28" i="2"/>
  <c r="C28" i="2"/>
  <c r="B28" i="2"/>
  <c r="A28" i="2"/>
  <c r="E27" i="2"/>
  <c r="D27" i="2"/>
  <c r="C27" i="2"/>
  <c r="B27" i="2"/>
  <c r="A27" i="2"/>
  <c r="E26" i="2"/>
  <c r="D26" i="2"/>
  <c r="C26" i="2"/>
  <c r="B26" i="2"/>
  <c r="A26" i="2"/>
  <c r="E25" i="2"/>
  <c r="D25" i="2"/>
  <c r="C25" i="2"/>
  <c r="B25" i="2"/>
  <c r="A25" i="2"/>
  <c r="E24" i="2"/>
  <c r="D24" i="2"/>
  <c r="C24" i="2"/>
  <c r="B24" i="2"/>
  <c r="A24" i="2"/>
  <c r="E23" i="2"/>
  <c r="D23" i="2"/>
  <c r="C23" i="2"/>
  <c r="B23" i="2"/>
  <c r="A23" i="2"/>
  <c r="E22" i="2"/>
  <c r="D22" i="2"/>
  <c r="C22" i="2"/>
  <c r="B22" i="2"/>
  <c r="A22" i="2"/>
  <c r="E21" i="2"/>
  <c r="D21" i="2"/>
  <c r="C21" i="2"/>
  <c r="B21" i="2"/>
  <c r="A21" i="2"/>
  <c r="E20" i="2"/>
  <c r="D20" i="2"/>
  <c r="C20" i="2"/>
  <c r="B20" i="2"/>
  <c r="A20" i="2"/>
  <c r="E19" i="2"/>
  <c r="D19" i="2"/>
  <c r="C19" i="2"/>
  <c r="B19" i="2"/>
  <c r="A19" i="2"/>
  <c r="E18" i="2"/>
  <c r="D18" i="2"/>
  <c r="C18" i="2"/>
  <c r="B18" i="2"/>
  <c r="A18" i="2"/>
  <c r="E17" i="2"/>
  <c r="D17" i="2"/>
  <c r="C17" i="2"/>
  <c r="B17" i="2"/>
  <c r="A17" i="2"/>
  <c r="E16" i="2"/>
  <c r="D16" i="2"/>
  <c r="C16" i="2"/>
  <c r="B16" i="2"/>
  <c r="A16" i="2"/>
  <c r="E15" i="2"/>
  <c r="D15" i="2"/>
  <c r="C15" i="2"/>
  <c r="B15" i="2"/>
  <c r="A15" i="2"/>
  <c r="E14" i="2"/>
  <c r="D14" i="2"/>
  <c r="C14" i="2"/>
  <c r="B14" i="2"/>
  <c r="A14" i="2"/>
  <c r="E13" i="2"/>
  <c r="D13" i="2"/>
  <c r="C13" i="2"/>
  <c r="B13" i="2"/>
  <c r="A13" i="2"/>
  <c r="E12" i="2"/>
  <c r="D12" i="2"/>
  <c r="C12" i="2"/>
  <c r="B12" i="2"/>
  <c r="A12" i="2"/>
  <c r="E11" i="2"/>
  <c r="D11" i="2"/>
  <c r="C11" i="2"/>
  <c r="B11" i="2"/>
  <c r="A11" i="2"/>
  <c r="E10" i="2"/>
  <c r="D10" i="2"/>
  <c r="C10" i="2"/>
  <c r="B10" i="2"/>
  <c r="A10" i="2"/>
  <c r="E9" i="2"/>
  <c r="D9" i="2"/>
  <c r="C9" i="2"/>
  <c r="B9" i="2"/>
  <c r="A9" i="2"/>
  <c r="E8" i="2"/>
  <c r="D8" i="2"/>
  <c r="C8" i="2"/>
  <c r="B8" i="2"/>
  <c r="A8" i="2"/>
  <c r="E7" i="2"/>
  <c r="D7" i="2"/>
  <c r="C7" i="2"/>
  <c r="B7" i="2"/>
  <c r="A7" i="2"/>
  <c r="E6" i="2"/>
  <c r="D6" i="2"/>
  <c r="C6" i="2"/>
  <c r="B6" i="2"/>
  <c r="A6" i="2"/>
  <c r="E5" i="2"/>
  <c r="D5" i="2"/>
  <c r="C5" i="2"/>
  <c r="B5" i="2"/>
  <c r="A5" i="2"/>
  <c r="E4" i="2"/>
  <c r="D4" i="2"/>
  <c r="C4" i="2"/>
  <c r="B4" i="2"/>
  <c r="A4" i="2"/>
  <c r="E3" i="2"/>
  <c r="D3" i="2"/>
  <c r="C3" i="2"/>
  <c r="B3" i="2"/>
  <c r="A3" i="2"/>
  <c r="E2" i="2"/>
  <c r="D2" i="2"/>
  <c r="C2" i="2"/>
  <c r="B2" i="2"/>
  <c r="A2" i="2"/>
  <c r="E1" i="2"/>
  <c r="D1" i="2"/>
  <c r="C1" i="2"/>
  <c r="B1" i="2"/>
  <c r="A1" i="2"/>
</calcChain>
</file>

<file path=xl/sharedStrings.xml><?xml version="1.0" encoding="utf-8"?>
<sst xmlns="http://schemas.openxmlformats.org/spreadsheetml/2006/main" count="70" uniqueCount="43">
  <si>
    <t>Code name</t>
  </si>
  <si>
    <t>Code description</t>
  </si>
  <si>
    <t>Code examples</t>
  </si>
  <si>
    <t>passive learning</t>
  </si>
  <si>
    <t>Learners being oriented toward and receiving information from the instructional materials without overtly doing anything else related to learning.</t>
  </si>
  <si>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</si>
  <si>
    <t>active learning</t>
  </si>
  <si>
    <t>Learners do some form of overt motoric action or physical manipulation without necessarily entailubf the production of an artifact.</t>
  </si>
  <si>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</si>
  <si>
    <t>constructive learning</t>
  </si>
  <si>
    <t>Learners generate or produce additional externalized outputs or products beyond what was provided in the learning materials.</t>
  </si>
  <si>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</si>
  <si>
    <t>interactive learning</t>
  </si>
  <si>
    <t>Learners dialogue with another person, device, learning environment, or system (e.g., a chatbot). Also, if a learning environment or computer-based system expects a response from the user, and provides feedback to that response. It does not necessarily entail the creation of an artifact.</t>
  </si>
  <si>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</si>
  <si>
    <t>individual activity</t>
  </si>
  <si>
    <t>Learners are asked to accomplish certain activities individually, not involving the creation of an artifact</t>
  </si>
  <si>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</si>
  <si>
    <t>individual product</t>
  </si>
  <si>
    <t>The participating students were asked to produce an individual artifact</t>
  </si>
  <si>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</si>
  <si>
    <t>collective activity</t>
  </si>
  <si>
    <t>Learners are asked to only accomplish certain activities with other people (e.g., other peers, teacher, parents, external people) not involving the creation of an artifact</t>
  </si>
  <si>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</si>
  <si>
    <t>collective product</t>
  </si>
  <si>
    <t>Learners are asked to produce an artifact with other people (e.g., other peers, teacher, parents, external people)</t>
  </si>
  <si>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</si>
  <si>
    <t>orientation</t>
  </si>
  <si>
    <t>The process of stimulating curiosity about a topic and addressing a learning challenge through a problem statement.</t>
  </si>
  <si>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</si>
  <si>
    <t>conceptualisation</t>
  </si>
  <si>
    <t>The process of generating research questions and/or hypotheses regarding a stated problem.</t>
  </si>
  <si>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</si>
  <si>
    <t>investigation</t>
  </si>
  <si>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</si>
  <si>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</si>
  <si>
    <t>conclusion</t>
  </si>
  <si>
    <t>The process of drawing conclusions from the data. Comparing inferences made based on data with hypotheses or research questions.</t>
  </si>
  <si>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</si>
  <si>
    <t>discussion</t>
  </si>
  <si>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</si>
  <si>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</si>
  <si>
    <t>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</si>
</sst>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8"/>
      <color theme="1"/>
      <name val="Arial"/>
      <family val="2"/>
    </font>
    <font>
      <sz val="8"/>
      <color theme="1"/>
      <name val="Arial"/>
      <family val="2"/>
    </font>
    <font>
      <sz val="12"/>
      <color indexed="8"/>
      <name val="Aptos Narrow"/>
    </font>
    <font>
      <sz val="12"/>
      <color indexed="8"/>
      <name val="Arial"/>
      <family val="2"/>
    </font>
    <font>
      <b/>
      <sz val="8"/>
      <color indexed="8"/>
      <name val="Arial"/>
      <family val="2"/>
    </font>
    <font>
      <sz val="9"/>
      <color indexed="11"/>
      <name val="Arial"/>
      <family val="2"/>
    </font>
    <font>
      <b/>
      <sz val="9"/>
      <color indexed="11"/>
      <name val="Arial"/>
      <family val="2"/>
    </font>
    <font>
      <b/>
      <sz val="9"/>
      <color indexed="8"/>
      <name val="Arial"/>
      <family val="2"/>
    </font>
  </fonts>
  <fills count="9">
    <fill>
      <patternFill patternType="none"/>
    </fill>
    <fill>
      <patternFill patternType="gray125"/>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indexed="9"/>
        <bgColor auto="1"/>
      </patternFill>
    </fill>
    <fill>
      <patternFill patternType="solid">
        <fgColor indexed="14"/>
        <bgColor auto="1"/>
      </patternFill>
    </fill>
    <fill>
      <patternFill patternType="solid">
        <fgColor indexed="13"/>
        <bgColor auto="1"/>
      </patternFill>
    </fill>
    <fill>
      <patternFill patternType="solid">
        <fgColor indexed="12"/>
        <bgColor auto="1"/>
      </patternFill>
    </fill>
  </fills>
  <borders count="6">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
      <left style="thin">
        <color indexed="8"/>
      </left>
      <right style="thin">
        <color indexed="10"/>
      </right>
      <top style="thin">
        <color indexed="10"/>
      </top>
      <bottom style="thin">
        <color indexed="10"/>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10"/>
      </top>
      <bottom style="thin">
        <color indexed="8"/>
      </bottom>
      <diagonal/>
    </border>
  </borders>
  <cellStyleXfs count="2">
    <xf numFmtId="0" fontId="0" fillId="0" borderId="0"/>
    <xf numFmtId="0" fontId="3" fillId="0" borderId="0"/>
  </cellStyleXfs>
  <cellXfs count="30">
    <xf numFmtId="0" fontId="0" fillId="0" borderId="0" xfId="0"/>
    <xf numFmtId="0" fontId="1" fillId="0" borderId="0" xfId="0" applyFont="1"/>
    <xf numFmtId="0" fontId="1" fillId="0" borderId="0" xfId="0" applyFont="1" applyAlignment="1">
      <alignment wrapText="1"/>
    </xf>
    <xf numFmtId="0" fontId="1" fillId="2" borderId="0" xfId="0" applyFont="1" applyFill="1" applyAlignment="1">
      <alignment textRotation="90"/>
    </xf>
    <xf numFmtId="0" fontId="1" fillId="3" borderId="0" xfId="0" applyFont="1" applyFill="1" applyAlignment="1">
      <alignment textRotation="90"/>
    </xf>
    <xf numFmtId="0" fontId="1" fillId="4" borderId="0" xfId="0" applyFont="1" applyFill="1" applyAlignment="1">
      <alignment textRotation="90"/>
    </xf>
    <xf numFmtId="0" fontId="2" fillId="0" borderId="0" xfId="0" applyFont="1"/>
    <xf numFmtId="0" fontId="2" fillId="0" borderId="0" xfId="0" applyFont="1" applyAlignment="1">
      <alignment wrapText="1"/>
    </xf>
    <xf numFmtId="9" fontId="2" fillId="2" borderId="0" xfId="0" applyNumberFormat="1" applyFont="1" applyFill="1"/>
    <xf numFmtId="9" fontId="2" fillId="3" borderId="0" xfId="0" applyNumberFormat="1" applyFont="1" applyFill="1"/>
    <xf numFmtId="9" fontId="2" fillId="4" borderId="0" xfId="0" applyNumberFormat="1" applyFont="1" applyFill="1"/>
    <xf numFmtId="0" fontId="3" fillId="0" borderId="0" xfId="1"/>
    <xf numFmtId="0" fontId="3" fillId="5" borderId="1" xfId="1" applyFill="1" applyBorder="1"/>
    <xf numFmtId="0" fontId="3" fillId="5" borderId="1" xfId="1" applyFill="1" applyBorder="1" applyAlignment="1">
      <alignment wrapText="1"/>
    </xf>
    <xf numFmtId="0" fontId="3" fillId="5" borderId="2" xfId="1" applyFill="1" applyBorder="1" applyAlignment="1">
      <alignment wrapText="1"/>
    </xf>
    <xf numFmtId="0" fontId="3" fillId="5" borderId="3" xfId="1" applyFill="1" applyBorder="1" applyAlignment="1">
      <alignment wrapText="1"/>
    </xf>
    <xf numFmtId="49" fontId="3" fillId="6" borderId="4" xfId="1" applyNumberFormat="1" applyFill="1" applyBorder="1" applyAlignment="1">
      <alignment wrapText="1"/>
    </xf>
    <xf numFmtId="49" fontId="4" fillId="6" borderId="4" xfId="1" applyNumberFormat="1" applyFont="1" applyFill="1" applyBorder="1" applyAlignment="1">
      <alignment wrapText="1" readingOrder="1"/>
    </xf>
    <xf numFmtId="49" fontId="3" fillId="7" borderId="4" xfId="1" applyNumberFormat="1" applyFill="1" applyBorder="1" applyAlignment="1">
      <alignment wrapText="1"/>
    </xf>
    <xf numFmtId="49" fontId="3" fillId="8" borderId="4" xfId="1" applyNumberFormat="1" applyFill="1" applyBorder="1" applyAlignment="1">
      <alignment wrapText="1"/>
    </xf>
    <xf numFmtId="49" fontId="5" fillId="8" borderId="4" xfId="1" applyNumberFormat="1" applyFont="1" applyFill="1" applyBorder="1" applyAlignment="1">
      <alignment wrapText="1"/>
    </xf>
    <xf numFmtId="0" fontId="3" fillId="5" borderId="1" xfId="1" applyFill="1" applyBorder="1" applyAlignment="1">
      <alignment vertical="center" wrapText="1"/>
    </xf>
    <xf numFmtId="0" fontId="6" fillId="5" borderId="1" xfId="1" applyFont="1" applyFill="1" applyBorder="1" applyAlignment="1">
      <alignment vertical="center" wrapText="1"/>
    </xf>
    <xf numFmtId="0" fontId="7" fillId="5" borderId="1" xfId="1" applyFont="1" applyFill="1" applyBorder="1" applyAlignment="1">
      <alignment vertical="center" wrapText="1"/>
    </xf>
    <xf numFmtId="0" fontId="6" fillId="5" borderId="1" xfId="1" applyFont="1" applyFill="1" applyBorder="1"/>
    <xf numFmtId="0" fontId="7" fillId="5" borderId="1" xfId="1" applyFont="1" applyFill="1" applyBorder="1" applyAlignment="1">
      <alignment wrapText="1"/>
    </xf>
    <xf numFmtId="0" fontId="3" fillId="5" borderId="5" xfId="1" applyFill="1" applyBorder="1" applyAlignment="1">
      <alignment vertical="center" wrapText="1"/>
    </xf>
    <xf numFmtId="0" fontId="6" fillId="5" borderId="5" xfId="1" applyFont="1" applyFill="1" applyBorder="1" applyAlignment="1">
      <alignment vertical="center" wrapText="1"/>
    </xf>
    <xf numFmtId="0" fontId="7" fillId="5" borderId="5" xfId="1" applyFont="1" applyFill="1" applyBorder="1" applyAlignment="1">
      <alignment vertical="center" wrapText="1"/>
    </xf>
    <xf numFmtId="49" fontId="8" fillId="5" borderId="1" xfId="1" applyNumberFormat="1" applyFont="1" applyFill="1" applyBorder="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7"/>
  <sheetViews>
    <sheetView showGridLines="0" zoomScale="76" zoomScaleNormal="76" workbookViewId="0">
      <selection activeCell="B3" sqref="B3"/>
    </sheetView>
  </sheetViews>
  <sheetFormatPr baseColWidth="10" defaultColWidth="10.83203125" defaultRowHeight="16" customHeight="1" x14ac:dyDescent="0.2"/>
  <cols>
    <col min="1" max="1" width="31.6640625" style="11" customWidth="1"/>
    <col min="2" max="2" width="87.1640625" style="11" customWidth="1"/>
    <col min="3" max="3" width="225.6640625" style="11" customWidth="1"/>
    <col min="4" max="6" width="10.83203125" style="11" customWidth="1"/>
    <col min="7" max="7" width="30" style="11" customWidth="1"/>
    <col min="8" max="10" width="10.83203125" style="11" customWidth="1"/>
    <col min="11" max="16384" width="10.83203125" style="11"/>
  </cols>
  <sheetData>
    <row r="1" spans="1:7" ht="17" customHeight="1" x14ac:dyDescent="0.2">
      <c r="A1" s="29" t="s">
        <v>0</v>
      </c>
      <c r="B1" s="29" t="s">
        <v>1</v>
      </c>
      <c r="C1" s="29" t="s">
        <v>2</v>
      </c>
      <c r="D1" s="12"/>
      <c r="E1" s="12"/>
      <c r="F1" s="12"/>
      <c r="G1" s="12"/>
    </row>
    <row r="2" spans="1:7" ht="255" customHeight="1" x14ac:dyDescent="0.2">
      <c r="A2" s="28"/>
      <c r="B2" s="27"/>
      <c r="C2" s="26"/>
      <c r="D2" s="13"/>
      <c r="E2" s="13"/>
      <c r="F2" s="12"/>
      <c r="G2" s="12"/>
    </row>
    <row r="3" spans="1:7" ht="323" customHeight="1" x14ac:dyDescent="0.2">
      <c r="A3" s="19" t="s">
        <v>3</v>
      </c>
      <c r="B3" s="19" t="s">
        <v>4</v>
      </c>
      <c r="C3" s="19" t="s">
        <v>5</v>
      </c>
      <c r="D3" s="15"/>
      <c r="E3" s="25"/>
      <c r="F3" s="24"/>
      <c r="G3" s="13"/>
    </row>
    <row r="4" spans="1:7" ht="409.5" customHeight="1" x14ac:dyDescent="0.2">
      <c r="A4" s="19" t="s">
        <v>6</v>
      </c>
      <c r="B4" s="19" t="s">
        <v>7</v>
      </c>
      <c r="C4" s="19" t="s">
        <v>8</v>
      </c>
      <c r="D4" s="15"/>
      <c r="E4" s="13"/>
      <c r="F4" s="13"/>
      <c r="G4" s="13"/>
    </row>
    <row r="5" spans="1:7" ht="255" customHeight="1" x14ac:dyDescent="0.2">
      <c r="A5" s="19" t="s">
        <v>9</v>
      </c>
      <c r="B5" s="19" t="s">
        <v>10</v>
      </c>
      <c r="C5" s="19" t="s">
        <v>11</v>
      </c>
      <c r="D5" s="15"/>
      <c r="E5" s="23"/>
      <c r="F5" s="22"/>
      <c r="G5" s="21"/>
    </row>
    <row r="6" spans="1:7" ht="136" customHeight="1" x14ac:dyDescent="0.2">
      <c r="A6" s="20" t="s">
        <v>12</v>
      </c>
      <c r="B6" s="19" t="s">
        <v>13</v>
      </c>
      <c r="C6" s="19" t="s">
        <v>14</v>
      </c>
      <c r="D6" s="15"/>
      <c r="E6" s="13"/>
      <c r="F6" s="12"/>
      <c r="G6" s="12"/>
    </row>
    <row r="7" spans="1:7" ht="68" customHeight="1" x14ac:dyDescent="0.2">
      <c r="A7" s="18" t="s">
        <v>15</v>
      </c>
      <c r="B7" s="18" t="s">
        <v>16</v>
      </c>
      <c r="C7" s="18" t="s">
        <v>17</v>
      </c>
      <c r="D7" s="15"/>
      <c r="E7" s="13"/>
      <c r="F7" s="12"/>
      <c r="G7" s="12"/>
    </row>
    <row r="8" spans="1:7" ht="68" customHeight="1" x14ac:dyDescent="0.2">
      <c r="A8" s="18" t="s">
        <v>18</v>
      </c>
      <c r="B8" s="18" t="s">
        <v>19</v>
      </c>
      <c r="C8" s="18" t="s">
        <v>20</v>
      </c>
      <c r="D8" s="15"/>
      <c r="E8" s="13"/>
      <c r="F8" s="12"/>
      <c r="G8" s="12"/>
    </row>
    <row r="9" spans="1:7" ht="85" customHeight="1" x14ac:dyDescent="0.2">
      <c r="A9" s="18" t="s">
        <v>21</v>
      </c>
      <c r="B9" s="18" t="s">
        <v>22</v>
      </c>
      <c r="C9" s="18" t="s">
        <v>23</v>
      </c>
      <c r="D9" s="15"/>
      <c r="E9" s="13"/>
      <c r="F9" s="12"/>
      <c r="G9" s="12"/>
    </row>
    <row r="10" spans="1:7" ht="85" customHeight="1" x14ac:dyDescent="0.2">
      <c r="A10" s="18" t="s">
        <v>24</v>
      </c>
      <c r="B10" s="18" t="s">
        <v>25</v>
      </c>
      <c r="C10" s="18" t="s">
        <v>26</v>
      </c>
      <c r="D10" s="15"/>
      <c r="E10" s="13"/>
      <c r="F10" s="12"/>
      <c r="G10" s="12"/>
    </row>
    <row r="11" spans="1:7" ht="238" customHeight="1" x14ac:dyDescent="0.2">
      <c r="A11" s="16" t="s">
        <v>27</v>
      </c>
      <c r="B11" s="16" t="s">
        <v>28</v>
      </c>
      <c r="C11" s="17" t="s">
        <v>29</v>
      </c>
      <c r="D11" s="15"/>
      <c r="E11" s="13"/>
      <c r="F11" s="12"/>
      <c r="G11" s="12"/>
    </row>
    <row r="12" spans="1:7" ht="85" customHeight="1" x14ac:dyDescent="0.2">
      <c r="A12" s="16" t="s">
        <v>30</v>
      </c>
      <c r="B12" s="16" t="s">
        <v>31</v>
      </c>
      <c r="C12" s="16" t="s">
        <v>32</v>
      </c>
      <c r="D12" s="15"/>
      <c r="E12" s="13"/>
      <c r="F12" s="12"/>
      <c r="G12" s="12"/>
    </row>
    <row r="13" spans="1:7" ht="170" customHeight="1" x14ac:dyDescent="0.2">
      <c r="A13" s="16" t="s">
        <v>33</v>
      </c>
      <c r="B13" s="16" t="s">
        <v>34</v>
      </c>
      <c r="C13" s="16" t="s">
        <v>35</v>
      </c>
      <c r="D13" s="15"/>
      <c r="E13" s="13"/>
      <c r="F13" s="12"/>
      <c r="G13" s="12"/>
    </row>
    <row r="14" spans="1:7" ht="85" customHeight="1" x14ac:dyDescent="0.2">
      <c r="A14" s="16" t="s">
        <v>36</v>
      </c>
      <c r="B14" s="16" t="s">
        <v>37</v>
      </c>
      <c r="C14" s="16" t="s">
        <v>38</v>
      </c>
      <c r="D14" s="15"/>
      <c r="E14" s="13"/>
      <c r="F14" s="12"/>
      <c r="G14" s="12"/>
    </row>
    <row r="15" spans="1:7" ht="187" customHeight="1" x14ac:dyDescent="0.2">
      <c r="A15" s="16" t="s">
        <v>39</v>
      </c>
      <c r="B15" s="16" t="s">
        <v>40</v>
      </c>
      <c r="C15" s="16" t="s">
        <v>41</v>
      </c>
      <c r="D15" s="15"/>
      <c r="E15" s="13"/>
      <c r="F15" s="12"/>
      <c r="G15" s="12"/>
    </row>
    <row r="16" spans="1:7" ht="17" customHeight="1" x14ac:dyDescent="0.2">
      <c r="A16" s="14"/>
      <c r="B16" s="14"/>
      <c r="C16" s="14"/>
      <c r="D16" s="13"/>
      <c r="E16" s="13"/>
      <c r="F16" s="12"/>
      <c r="G16" s="12"/>
    </row>
    <row r="17" spans="1:7" ht="17" customHeight="1" x14ac:dyDescent="0.2">
      <c r="A17" s="13"/>
      <c r="B17" s="13"/>
      <c r="C17" s="13"/>
      <c r="D17" s="13"/>
      <c r="E17" s="13"/>
      <c r="F17" s="12"/>
      <c r="G17" s="12"/>
    </row>
    <row r="18" spans="1:7" ht="17" customHeight="1" x14ac:dyDescent="0.2">
      <c r="A18" s="13"/>
      <c r="B18" s="13"/>
      <c r="C18" s="13"/>
      <c r="D18" s="13"/>
      <c r="E18" s="13"/>
      <c r="F18" s="12"/>
      <c r="G18" s="12"/>
    </row>
    <row r="19" spans="1:7" ht="17" customHeight="1" x14ac:dyDescent="0.2">
      <c r="A19" s="13"/>
      <c r="B19" s="13"/>
      <c r="C19" s="13"/>
      <c r="D19" s="13"/>
      <c r="E19" s="13"/>
      <c r="F19" s="12"/>
      <c r="G19" s="12"/>
    </row>
    <row r="20" spans="1:7" ht="17" customHeight="1" x14ac:dyDescent="0.2">
      <c r="A20" s="13"/>
      <c r="B20" s="13"/>
      <c r="C20" s="13"/>
      <c r="D20" s="13"/>
      <c r="E20" s="13"/>
      <c r="F20" s="12"/>
      <c r="G20" s="12"/>
    </row>
    <row r="21" spans="1:7" ht="17" customHeight="1" x14ac:dyDescent="0.2">
      <c r="A21" s="13"/>
      <c r="B21" s="13"/>
      <c r="C21" s="13"/>
      <c r="D21" s="13"/>
      <c r="E21" s="13"/>
      <c r="F21" s="12"/>
      <c r="G21" s="12"/>
    </row>
    <row r="22" spans="1:7" ht="17" customHeight="1" x14ac:dyDescent="0.2">
      <c r="A22" s="13"/>
      <c r="B22" s="13"/>
      <c r="C22" s="13"/>
      <c r="D22" s="13"/>
      <c r="E22" s="13"/>
      <c r="F22" s="12"/>
      <c r="G22" s="12"/>
    </row>
    <row r="23" spans="1:7" ht="17" customHeight="1" x14ac:dyDescent="0.2">
      <c r="A23" s="13"/>
      <c r="B23" s="13"/>
      <c r="C23" s="13"/>
      <c r="D23" s="13"/>
      <c r="E23" s="13"/>
      <c r="F23" s="12"/>
      <c r="G23" s="12"/>
    </row>
    <row r="24" spans="1:7" ht="17" customHeight="1" x14ac:dyDescent="0.2">
      <c r="A24" s="13"/>
      <c r="B24" s="13"/>
      <c r="C24" s="13"/>
      <c r="D24" s="13"/>
      <c r="E24" s="13"/>
      <c r="F24" s="12"/>
      <c r="G24" s="12"/>
    </row>
    <row r="25" spans="1:7" ht="17" customHeight="1" x14ac:dyDescent="0.2">
      <c r="A25" s="13"/>
      <c r="B25" s="13"/>
      <c r="C25" s="13"/>
      <c r="D25" s="13"/>
      <c r="E25" s="13"/>
      <c r="F25" s="12"/>
      <c r="G25" s="12"/>
    </row>
    <row r="26" spans="1:7" ht="17" customHeight="1" x14ac:dyDescent="0.2">
      <c r="A26" s="13"/>
      <c r="B26" s="13"/>
      <c r="C26" s="13"/>
      <c r="D26" s="13"/>
      <c r="E26" s="13"/>
      <c r="F26" s="12"/>
      <c r="G26" s="12"/>
    </row>
    <row r="27" spans="1:7" ht="17" customHeight="1" x14ac:dyDescent="0.2">
      <c r="A27" s="13"/>
      <c r="B27" s="13"/>
      <c r="C27" s="13"/>
      <c r="D27" s="13"/>
      <c r="E27" s="13"/>
      <c r="F27" s="12"/>
      <c r="G27" s="12"/>
    </row>
    <row r="28" spans="1:7" ht="17" customHeight="1" x14ac:dyDescent="0.2">
      <c r="A28" s="13"/>
      <c r="B28" s="13"/>
      <c r="C28" s="13"/>
      <c r="D28" s="13"/>
      <c r="E28" s="13"/>
      <c r="F28" s="12"/>
      <c r="G28" s="12"/>
    </row>
    <row r="29" spans="1:7" ht="17" customHeight="1" x14ac:dyDescent="0.2">
      <c r="A29" s="13"/>
      <c r="B29" s="13"/>
      <c r="C29" s="13"/>
      <c r="D29" s="13"/>
      <c r="E29" s="13"/>
      <c r="F29" s="12"/>
      <c r="G29" s="12"/>
    </row>
    <row r="30" spans="1:7" ht="17" customHeight="1" x14ac:dyDescent="0.2">
      <c r="A30" s="13"/>
      <c r="B30" s="13"/>
      <c r="C30" s="13"/>
      <c r="D30" s="13"/>
      <c r="E30" s="13"/>
      <c r="F30" s="12"/>
      <c r="G30" s="12"/>
    </row>
    <row r="31" spans="1:7" ht="17" customHeight="1" x14ac:dyDescent="0.2">
      <c r="A31" s="13"/>
      <c r="B31" s="13"/>
      <c r="C31" s="13"/>
      <c r="D31" s="13"/>
      <c r="E31" s="13"/>
      <c r="F31" s="12"/>
      <c r="G31" s="12"/>
    </row>
    <row r="32" spans="1:7" ht="17" customHeight="1" x14ac:dyDescent="0.2">
      <c r="A32" s="13"/>
      <c r="B32" s="13"/>
      <c r="C32" s="13"/>
      <c r="D32" s="13"/>
      <c r="E32" s="13"/>
      <c r="F32" s="12"/>
      <c r="G32" s="12"/>
    </row>
    <row r="33" spans="1:7" ht="17" customHeight="1" x14ac:dyDescent="0.2">
      <c r="A33" s="13"/>
      <c r="B33" s="13"/>
      <c r="C33" s="13"/>
      <c r="D33" s="13"/>
      <c r="E33" s="13"/>
      <c r="F33" s="12"/>
      <c r="G33" s="12"/>
    </row>
    <row r="34" spans="1:7" ht="17" customHeight="1" x14ac:dyDescent="0.2">
      <c r="A34" s="13"/>
      <c r="B34" s="13"/>
      <c r="C34" s="13"/>
      <c r="D34" s="13"/>
      <c r="E34" s="13"/>
      <c r="F34" s="12"/>
      <c r="G34" s="12"/>
    </row>
    <row r="35" spans="1:7" ht="17" customHeight="1" x14ac:dyDescent="0.2">
      <c r="A35" s="13"/>
      <c r="B35" s="13"/>
      <c r="C35" s="13"/>
      <c r="D35" s="13"/>
      <c r="E35" s="13"/>
      <c r="F35" s="12"/>
      <c r="G35" s="12"/>
    </row>
    <row r="36" spans="1:7" ht="17" customHeight="1" x14ac:dyDescent="0.2">
      <c r="A36" s="13"/>
      <c r="B36" s="13"/>
      <c r="C36" s="13"/>
      <c r="D36" s="13"/>
      <c r="E36" s="13"/>
      <c r="F36" s="12"/>
      <c r="G36" s="12"/>
    </row>
    <row r="37" spans="1:7" ht="17" customHeight="1" x14ac:dyDescent="0.2">
      <c r="A37" s="13"/>
      <c r="B37" s="13"/>
      <c r="C37" s="13"/>
      <c r="D37" s="13"/>
      <c r="E37" s="13"/>
      <c r="F37" s="12"/>
      <c r="G37" s="12"/>
    </row>
  </sheetData>
  <pageMargins left="0.7" right="0.7" top="0.75" bottom="0.75" header="0.3" footer="0.3"/>
  <pageSetup orientation="portrait"/>
  <headerFooter>
    <oddFooter>&amp;C&amp;"Helvetica Neue,Regular"&amp;12 &amp;K000000&amp;P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90"/>
  <sheetViews>
    <sheetView workbookViewId="0">
      <selection activeCell="C100" sqref="C100"/>
    </sheetView>
  </sheetViews>
  <sheetFormatPr baseColWidth="10" defaultRowHeight="16" x14ac:dyDescent="0.2"/>
  <cols>
    <col min="1" max="1" width="42.1640625" customWidth="1"/>
  </cols>
  <sheetData>
    <row r="1" spans="1:19" ht="83" customHeight="1" x14ac:dyDescent="0.2">
      <c r="A1" s="1" t="str">
        <f ca="1">IFERROR(__xludf.DUMMYFUNCTION("""COMPUTED_VALUE"""),"ils_title")</f>
        <v>ils_title</v>
      </c>
      <c r="B1" s="1" t="str">
        <f ca="1">IFERROR(__xludf.DUMMYFUNCTION("""COMPUTED_VALUE"""),"item_category")</f>
        <v>item_category</v>
      </c>
      <c r="C1" s="1" t="str">
        <f ca="1">IFERROR(__xludf.DUMMYFUNCTION("""COMPUTED_VALUE"""),"item_name")</f>
        <v>item_name</v>
      </c>
      <c r="D1" s="2" t="str">
        <f ca="1">IFERROR(__xludf.DUMMYFUNCTION("""COMPUTED_VALUE"""),"task_description")</f>
        <v>task_description</v>
      </c>
      <c r="E1" s="2" t="str">
        <f ca="1">IFERROR(__xludf.DUMMYFUNCTION("""COMPUTED_VALUE"""),"embedded_artifact_description")</f>
        <v>embedded_artifact_description</v>
      </c>
      <c r="F1" s="2" t="s">
        <v>42</v>
      </c>
      <c r="G1" s="3" t="s">
        <v>3</v>
      </c>
      <c r="H1" s="3" t="s">
        <v>6</v>
      </c>
      <c r="I1" s="3" t="s">
        <v>9</v>
      </c>
      <c r="J1" s="3" t="s">
        <v>12</v>
      </c>
      <c r="K1" s="4" t="s">
        <v>15</v>
      </c>
      <c r="L1" s="4" t="s">
        <v>18</v>
      </c>
      <c r="M1" s="4" t="s">
        <v>21</v>
      </c>
      <c r="N1" s="4" t="s">
        <v>24</v>
      </c>
      <c r="O1" s="5" t="s">
        <v>27</v>
      </c>
      <c r="P1" s="5" t="s">
        <v>30</v>
      </c>
      <c r="Q1" s="5" t="s">
        <v>33</v>
      </c>
      <c r="R1" s="5" t="s">
        <v>36</v>
      </c>
      <c r="S1" s="5" t="s">
        <v>39</v>
      </c>
    </row>
    <row r="2" spans="1:19" ht="25" customHeight="1" x14ac:dyDescent="0.2">
      <c r="A2" s="6" t="str">
        <f ca="1">IFERROR(__xludf.DUMMYFUNCTION("""COMPUTED_VALUE"""),"Hooke's Law")</f>
        <v>Hooke's Law</v>
      </c>
      <c r="B2" s="6" t="str">
        <f ca="1">IFERROR(__xludf.DUMMYFUNCTION("""COMPUTED_VALUE"""),"Space")</f>
        <v>Space</v>
      </c>
      <c r="C2" s="6" t="str">
        <f ca="1">IFERROR(__xludf.DUMMYFUNCTION("""COMPUTED_VALUE"""),"Engage")</f>
        <v>Engage</v>
      </c>
      <c r="D2" s="7" t="str">
        <f ca="1">IFERROR(__xludf.DUMMYFUNCTION("""COMPUTED_VALUE"""),"No task description")</f>
        <v>No task description</v>
      </c>
      <c r="E2" s="7" t="str">
        <f ca="1">IFERROR(__xludf.DUMMYFUNCTION("""COMPUTED_VALUE"""),"No artifact embedded")</f>
        <v>No artifact embedded</v>
      </c>
      <c r="F2" s="7"/>
      <c r="G2" s="8">
        <v>0</v>
      </c>
      <c r="H2" s="8">
        <v>0</v>
      </c>
      <c r="I2" s="8">
        <v>0</v>
      </c>
      <c r="J2" s="8">
        <v>0</v>
      </c>
      <c r="K2" s="9">
        <v>0</v>
      </c>
      <c r="L2" s="9">
        <v>0</v>
      </c>
      <c r="M2" s="9">
        <v>0</v>
      </c>
      <c r="N2" s="9">
        <v>0</v>
      </c>
      <c r="O2" s="10">
        <v>0</v>
      </c>
      <c r="P2" s="10">
        <v>0</v>
      </c>
      <c r="Q2" s="10">
        <v>0</v>
      </c>
      <c r="R2" s="10">
        <v>0</v>
      </c>
      <c r="S2" s="10">
        <v>0</v>
      </c>
    </row>
    <row r="3" spans="1:19" ht="274" customHeight="1" x14ac:dyDescent="0.2">
      <c r="A3" s="6" t="str">
        <f ca="1">IFERROR(__xludf.DUMMYFUNCTION("""COMPUTED_VALUE"""),"Hooke's Law")</f>
        <v>Hooke's Law</v>
      </c>
      <c r="B3" s="6" t="str">
        <f ca="1">IFERROR(__xludf.DUMMYFUNCTION("""COMPUTED_VALUE"""),"Resource")</f>
        <v>Resource</v>
      </c>
      <c r="C3" s="6" t="str">
        <f ca="1">IFERROR(__xludf.DUMMYFUNCTION("""COMPUTED_VALUE"""),"Engage.graasp")</f>
        <v>Engage.graasp</v>
      </c>
      <c r="D3" s="7" t="str">
        <f ca="1">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v>
      </c>
      <c r="E3" s="7" t="str">
        <f ca="1">IFERROR(__xludf.DUMMYFUNCTION("""COMPUTED_VALUE"""),"No artifact embedded")</f>
        <v>No artifact embedded</v>
      </c>
      <c r="F3" s="7"/>
      <c r="G3" s="8">
        <v>1</v>
      </c>
      <c r="H3" s="8">
        <v>0</v>
      </c>
      <c r="I3" s="8">
        <v>0</v>
      </c>
      <c r="J3" s="8">
        <v>0</v>
      </c>
      <c r="K3" s="9">
        <v>1</v>
      </c>
      <c r="L3" s="9">
        <v>0</v>
      </c>
      <c r="M3" s="9">
        <v>0</v>
      </c>
      <c r="N3" s="9">
        <v>0</v>
      </c>
      <c r="O3" s="10">
        <v>1</v>
      </c>
      <c r="P3" s="10">
        <v>0</v>
      </c>
      <c r="Q3" s="10">
        <v>0</v>
      </c>
      <c r="R3" s="10">
        <v>0</v>
      </c>
      <c r="S3" s="10">
        <v>0</v>
      </c>
    </row>
    <row r="4" spans="1:19" ht="109" customHeight="1" x14ac:dyDescent="0.2">
      <c r="A4" s="6" t="str">
        <f ca="1">IFERROR(__xludf.DUMMYFUNCTION("""COMPUTED_VALUE"""),"Hooke's Law")</f>
        <v>Hooke's Law</v>
      </c>
      <c r="B4" s="6" t="str">
        <f ca="1">IFERROR(__xludf.DUMMYFUNCTION("""COMPUTED_VALUE"""),"Resource")</f>
        <v>Resource</v>
      </c>
      <c r="C4" s="6" t="str">
        <f ca="1">IFERROR(__xludf.DUMMYFUNCTION("""COMPUTED_VALUE"""),"Springs.jpg")</f>
        <v>Springs.jpg</v>
      </c>
      <c r="D4" s="7" t="str">
        <f ca="1">IFERROR(__xludf.DUMMYFUNCTION("""COMPUTED_VALUE"""),"No task description")</f>
        <v>No task description</v>
      </c>
      <c r="E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4" s="7"/>
      <c r="G4" s="8">
        <v>1</v>
      </c>
      <c r="H4" s="8">
        <v>0</v>
      </c>
      <c r="I4" s="8">
        <v>0</v>
      </c>
      <c r="J4" s="8">
        <v>0</v>
      </c>
      <c r="K4" s="9">
        <v>1</v>
      </c>
      <c r="L4" s="9">
        <v>0</v>
      </c>
      <c r="M4" s="9">
        <v>0</v>
      </c>
      <c r="N4" s="9">
        <v>0</v>
      </c>
      <c r="O4" s="10">
        <v>0</v>
      </c>
      <c r="P4" s="10">
        <v>0</v>
      </c>
      <c r="Q4" s="10">
        <v>0</v>
      </c>
      <c r="R4" s="10">
        <v>0</v>
      </c>
      <c r="S4" s="10">
        <v>0</v>
      </c>
    </row>
    <row r="5" spans="1:19" ht="318" customHeight="1" x14ac:dyDescent="0.2">
      <c r="A5" s="6" t="str">
        <f ca="1">IFERROR(__xludf.DUMMYFUNCTION("""COMPUTED_VALUE"""),"Hooke's Law")</f>
        <v>Hooke's Law</v>
      </c>
      <c r="B5" s="6" t="str">
        <f ca="1">IFERROR(__xludf.DUMMYFUNCTION("""COMPUTED_VALUE"""),"Application")</f>
        <v>Application</v>
      </c>
      <c r="C5" s="6" t="str">
        <f ca="1">IFERROR(__xludf.DUMMYFUNCTION("""COMPUTED_VALUE"""),"Input Box")</f>
        <v>Input Box</v>
      </c>
      <c r="D5" s="7" t="str">
        <f ca="1">IFERROR(__xludf.DUMMYFUNCTION("""COMPUTED_VALUE"""),"No task description")</f>
        <v>No task description</v>
      </c>
      <c r="E5"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5" s="7"/>
      <c r="G5" s="8">
        <v>0</v>
      </c>
      <c r="H5" s="8">
        <v>0</v>
      </c>
      <c r="I5" s="8">
        <v>1</v>
      </c>
      <c r="J5" s="8">
        <v>0</v>
      </c>
      <c r="K5" s="9">
        <v>0</v>
      </c>
      <c r="L5" s="9">
        <v>1</v>
      </c>
      <c r="M5" s="9">
        <v>0</v>
      </c>
      <c r="N5" s="9">
        <v>0</v>
      </c>
      <c r="O5" s="10">
        <v>0</v>
      </c>
      <c r="P5" s="10">
        <v>0</v>
      </c>
      <c r="Q5" s="10">
        <v>0</v>
      </c>
      <c r="R5" s="10">
        <v>0</v>
      </c>
      <c r="S5" s="10">
        <v>0</v>
      </c>
    </row>
    <row r="6" spans="1:19" ht="73" customHeight="1" x14ac:dyDescent="0.2">
      <c r="A6" s="6" t="str">
        <f ca="1">IFERROR(__xludf.DUMMYFUNCTION("""COMPUTED_VALUE"""),"Hooke's Law")</f>
        <v>Hooke's Law</v>
      </c>
      <c r="B6" s="6" t="str">
        <f ca="1">IFERROR(__xludf.DUMMYFUNCTION("""COMPUTED_VALUE"""),"Application")</f>
        <v>Application</v>
      </c>
      <c r="C6" s="6" t="str">
        <f ca="1">IFERROR(__xludf.DUMMYFUNCTION("""COMPUTED_VALUE"""),"Teacher Feedback")</f>
        <v>Teacher Feedback</v>
      </c>
      <c r="D6" s="7" t="str">
        <f ca="1">IFERROR(__xludf.DUMMYFUNCTION("""COMPUTED_VALUE"""),"No task description")</f>
        <v>No task description</v>
      </c>
      <c r="E6" s="7" t="str">
        <f ca="1">IFERROR(__xludf.DUMMYFUNCTION("""COMPUTED_VALUE"""),"Golabz app/lab: ""&lt;p&gt;A tool where teachers can provide feedback to students&lt;/p&gt;\r\n""")</f>
        <v>Golabz app/lab: "&lt;p&gt;A tool where teachers can provide feedback to students&lt;/p&gt;\r\n"</v>
      </c>
      <c r="F6" s="7"/>
      <c r="G6" s="8">
        <v>1</v>
      </c>
      <c r="H6" s="8">
        <v>0</v>
      </c>
      <c r="I6" s="8">
        <v>0</v>
      </c>
      <c r="J6" s="8">
        <v>0</v>
      </c>
      <c r="K6" s="9">
        <v>1</v>
      </c>
      <c r="L6" s="9">
        <v>0</v>
      </c>
      <c r="M6" s="9">
        <v>0</v>
      </c>
      <c r="N6" s="9">
        <v>0</v>
      </c>
      <c r="O6" s="10">
        <v>0</v>
      </c>
      <c r="P6" s="10">
        <v>0</v>
      </c>
      <c r="Q6" s="10">
        <v>0</v>
      </c>
      <c r="R6" s="10">
        <v>0</v>
      </c>
      <c r="S6" s="10">
        <v>1</v>
      </c>
    </row>
    <row r="7" spans="1:19" ht="37" customHeight="1" x14ac:dyDescent="0.2">
      <c r="A7" s="6" t="str">
        <f ca="1">IFERROR(__xludf.DUMMYFUNCTION("""COMPUTED_VALUE"""),"Hooke's Law")</f>
        <v>Hooke's Law</v>
      </c>
      <c r="B7" s="6" t="str">
        <f ca="1">IFERROR(__xludf.DUMMYFUNCTION("""COMPUTED_VALUE"""),"Resource")</f>
        <v>Resource</v>
      </c>
      <c r="C7" s="6" t="str">
        <f ca="1">IFERROR(__xludf.DUMMYFUNCTION("""COMPUTED_VALUE"""),"Elephant on trampoline.graasp")</f>
        <v>Elephant on trampoline.graasp</v>
      </c>
      <c r="D7" s="7" t="str">
        <f ca="1">IFERROR(__xludf.DUMMYFUNCTION("""COMPUTED_VALUE"""),"&lt;p&gt;Observe the following video.&lt;/p&gt;")</f>
        <v>&lt;p&gt;Observe the following video.&lt;/p&gt;</v>
      </c>
      <c r="E7" s="7" t="str">
        <f ca="1">IFERROR(__xludf.DUMMYFUNCTION("""COMPUTED_VALUE"""),"No artifact embedded")</f>
        <v>No artifact embedded</v>
      </c>
      <c r="F7" s="7"/>
      <c r="G7" s="8">
        <v>1</v>
      </c>
      <c r="H7" s="8">
        <v>0</v>
      </c>
      <c r="I7" s="8">
        <v>0</v>
      </c>
      <c r="J7" s="8">
        <v>0</v>
      </c>
      <c r="K7" s="9">
        <v>1</v>
      </c>
      <c r="L7" s="9">
        <v>0</v>
      </c>
      <c r="M7" s="9">
        <v>0</v>
      </c>
      <c r="N7" s="9">
        <v>0</v>
      </c>
      <c r="O7" s="10">
        <v>1</v>
      </c>
      <c r="P7" s="10">
        <v>0</v>
      </c>
      <c r="Q7" s="10">
        <v>0</v>
      </c>
      <c r="R7" s="10">
        <v>0</v>
      </c>
      <c r="S7" s="10">
        <v>0</v>
      </c>
    </row>
    <row r="8" spans="1:19" ht="109" customHeight="1" x14ac:dyDescent="0.2">
      <c r="A8" s="6" t="str">
        <f ca="1">IFERROR(__xludf.DUMMYFUNCTION("""COMPUTED_VALUE"""),"Hooke's Law")</f>
        <v>Hooke's Law</v>
      </c>
      <c r="B8" s="6" t="str">
        <f ca="1">IFERROR(__xludf.DUMMYFUNCTION("""COMPUTED_VALUE"""),"Resource")</f>
        <v>Resource</v>
      </c>
      <c r="C8" s="6" t="str">
        <f ca="1">IFERROR(__xludf.DUMMYFUNCTION("""COMPUTED_VALUE"""),"Elephant on a trampoline.mp4")</f>
        <v>Elephant on a trampoline.mp4</v>
      </c>
      <c r="D8" s="7" t="str">
        <f ca="1">IFERROR(__xludf.DUMMYFUNCTION("""COMPUTED_VALUE"""),"No task description")</f>
        <v>No task description</v>
      </c>
      <c r="E8"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8" s="7"/>
      <c r="G8" s="8">
        <v>1</v>
      </c>
      <c r="H8" s="8">
        <v>0</v>
      </c>
      <c r="I8" s="8">
        <v>0</v>
      </c>
      <c r="J8" s="8">
        <v>0</v>
      </c>
      <c r="K8" s="9">
        <v>1</v>
      </c>
      <c r="L8" s="9">
        <v>0</v>
      </c>
      <c r="M8" s="9">
        <v>0</v>
      </c>
      <c r="N8" s="9">
        <v>0</v>
      </c>
      <c r="O8" s="10">
        <v>0</v>
      </c>
      <c r="P8" s="10">
        <v>0</v>
      </c>
      <c r="Q8" s="10">
        <v>0</v>
      </c>
      <c r="R8" s="10">
        <v>0</v>
      </c>
      <c r="S8" s="10">
        <v>0</v>
      </c>
    </row>
    <row r="9" spans="1:19" ht="318" customHeight="1" x14ac:dyDescent="0.2">
      <c r="A9" s="6" t="str">
        <f ca="1">IFERROR(__xludf.DUMMYFUNCTION("""COMPUTED_VALUE"""),"Hooke's Law")</f>
        <v>Hooke's Law</v>
      </c>
      <c r="B9" s="6" t="str">
        <f ca="1">IFERROR(__xludf.DUMMYFUNCTION("""COMPUTED_VALUE"""),"Application")</f>
        <v>Application</v>
      </c>
      <c r="C9" s="6" t="str">
        <f ca="1">IFERROR(__xludf.DUMMYFUNCTION("""COMPUTED_VALUE"""),"Input Box (1)")</f>
        <v>Input Box (1)</v>
      </c>
      <c r="D9" s="7" t="str">
        <f ca="1">IFERROR(__xludf.DUMMYFUNCTION("""COMPUTED_VALUE"""),"No task description")</f>
        <v>No task description</v>
      </c>
      <c r="E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 s="7"/>
      <c r="G9" s="8">
        <v>0</v>
      </c>
      <c r="H9" s="8">
        <v>0</v>
      </c>
      <c r="I9" s="8">
        <v>0</v>
      </c>
      <c r="J9" s="8">
        <v>0</v>
      </c>
      <c r="K9" s="9">
        <v>0</v>
      </c>
      <c r="L9" s="9">
        <v>0</v>
      </c>
      <c r="M9" s="9">
        <v>0</v>
      </c>
      <c r="N9" s="9">
        <v>0</v>
      </c>
      <c r="O9" s="10">
        <v>0</v>
      </c>
      <c r="P9" s="10">
        <v>0</v>
      </c>
      <c r="Q9" s="10">
        <v>0</v>
      </c>
      <c r="R9" s="10">
        <v>0</v>
      </c>
      <c r="S9" s="10">
        <v>0</v>
      </c>
    </row>
    <row r="10" spans="1:19" ht="73" customHeight="1" x14ac:dyDescent="0.2">
      <c r="A10" s="6" t="str">
        <f ca="1">IFERROR(__xludf.DUMMYFUNCTION("""COMPUTED_VALUE"""),"Hooke's Law")</f>
        <v>Hooke's Law</v>
      </c>
      <c r="B10" s="6" t="str">
        <f ca="1">IFERROR(__xludf.DUMMYFUNCTION("""COMPUTED_VALUE"""),"Application")</f>
        <v>Application</v>
      </c>
      <c r="C10" s="6" t="str">
        <f ca="1">IFERROR(__xludf.DUMMYFUNCTION("""COMPUTED_VALUE"""),"Teacher Feedback (1)")</f>
        <v>Teacher Feedback (1)</v>
      </c>
      <c r="D10" s="7" t="str">
        <f ca="1">IFERROR(__xludf.DUMMYFUNCTION("""COMPUTED_VALUE"""),"No task description")</f>
        <v>No task description</v>
      </c>
      <c r="E10" s="7" t="str">
        <f ca="1">IFERROR(__xludf.DUMMYFUNCTION("""COMPUTED_VALUE"""),"Golabz app/lab: ""&lt;p&gt;A tool where teachers can provide feedback to students&lt;/p&gt;\r\n""")</f>
        <v>Golabz app/lab: "&lt;p&gt;A tool where teachers can provide feedback to students&lt;/p&gt;\r\n"</v>
      </c>
      <c r="F10" s="7"/>
      <c r="G10" s="8">
        <v>1</v>
      </c>
      <c r="H10" s="8">
        <v>0</v>
      </c>
      <c r="I10" s="8">
        <v>0</v>
      </c>
      <c r="J10" s="8">
        <v>0</v>
      </c>
      <c r="K10" s="9">
        <v>1</v>
      </c>
      <c r="L10" s="9">
        <v>0</v>
      </c>
      <c r="M10" s="9">
        <v>0</v>
      </c>
      <c r="N10" s="9">
        <v>0</v>
      </c>
      <c r="O10" s="10">
        <v>0</v>
      </c>
      <c r="P10" s="10">
        <v>0</v>
      </c>
      <c r="Q10" s="10">
        <v>0</v>
      </c>
      <c r="R10" s="10">
        <v>0</v>
      </c>
      <c r="S10" s="10">
        <v>1</v>
      </c>
    </row>
    <row r="11" spans="1:19" ht="25" customHeight="1" x14ac:dyDescent="0.2">
      <c r="A11" s="6" t="str">
        <f ca="1">IFERROR(__xludf.DUMMYFUNCTION("""COMPUTED_VALUE"""),"Hooke's Law")</f>
        <v>Hooke's Law</v>
      </c>
      <c r="B11" s="6" t="str">
        <f ca="1">IFERROR(__xludf.DUMMYFUNCTION("""COMPUTED_VALUE"""),"Resource")</f>
        <v>Resource</v>
      </c>
      <c r="C11" s="6" t="str">
        <f ca="1">IFERROR(__xludf.DUMMYFUNCTION("""COMPUTED_VALUE"""),"to proceed.graasp")</f>
        <v>to proceed.graasp</v>
      </c>
      <c r="D11" s="7" t="str">
        <f ca="1">IFERROR(__xludf.DUMMYFUNCTION("""COMPUTED_VALUE"""),"&lt;p&gt;Click Explore to proceed&lt;/p&gt;")</f>
        <v>&lt;p&gt;Click Explore to proceed&lt;/p&gt;</v>
      </c>
      <c r="E11" s="7" t="str">
        <f ca="1">IFERROR(__xludf.DUMMYFUNCTION("""COMPUTED_VALUE"""),"No artifact embedded")</f>
        <v>No artifact embedded</v>
      </c>
      <c r="F11" s="7"/>
      <c r="G11" s="8">
        <v>0</v>
      </c>
      <c r="H11" s="8">
        <v>0</v>
      </c>
      <c r="I11" s="8">
        <v>0</v>
      </c>
      <c r="J11" s="8">
        <v>0</v>
      </c>
      <c r="K11" s="9">
        <v>0</v>
      </c>
      <c r="L11" s="9">
        <v>0</v>
      </c>
      <c r="M11" s="9">
        <v>0</v>
      </c>
      <c r="N11" s="9">
        <v>0</v>
      </c>
      <c r="O11" s="10">
        <v>0</v>
      </c>
      <c r="P11" s="10">
        <v>0</v>
      </c>
      <c r="Q11" s="10">
        <v>0</v>
      </c>
      <c r="R11" s="10">
        <v>0</v>
      </c>
      <c r="S11" s="10">
        <v>0</v>
      </c>
    </row>
    <row r="12" spans="1:19" ht="229" customHeight="1" x14ac:dyDescent="0.2">
      <c r="A12" s="6" t="str">
        <f ca="1">IFERROR(__xludf.DUMMYFUNCTION("""COMPUTED_VALUE"""),"Hooke's Law")</f>
        <v>Hooke's Law</v>
      </c>
      <c r="B12" s="6" t="str">
        <f ca="1">IFERROR(__xludf.DUMMYFUNCTION("""COMPUTED_VALUE"""),"Space")</f>
        <v>Space</v>
      </c>
      <c r="C12" s="6" t="str">
        <f ca="1">IFERROR(__xludf.DUMMYFUNCTION("""COMPUTED_VALUE"""),"Explore")</f>
        <v>Explore</v>
      </c>
      <c r="D12" s="7" t="str">
        <f ca="1">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&lt;p&gt;Read the instructions given then click 'got it' to proceed.&lt;/p&gt;&lt;p&gt;Note: For the purpose of this experiment, mass has been used in place of weight. It is ok since weight of a body is proportional to its mass. Would you need to convert however, take W = mg where g = 10N/kg&lt;/p&gt;</v>
      </c>
      <c r="E12" s="7" t="str">
        <f ca="1">IFERROR(__xludf.DUMMYFUNCTION("""COMPUTED_VALUE"""),"No artifact embedded")</f>
        <v>No artifact embedded</v>
      </c>
      <c r="F12" s="7"/>
      <c r="G12" s="8">
        <v>0</v>
      </c>
      <c r="H12" s="8">
        <v>1</v>
      </c>
      <c r="I12" s="8">
        <v>0</v>
      </c>
      <c r="J12" s="8">
        <v>0</v>
      </c>
      <c r="K12" s="9">
        <v>1</v>
      </c>
      <c r="L12" s="9">
        <v>0</v>
      </c>
      <c r="M12" s="9">
        <v>0</v>
      </c>
      <c r="N12" s="9">
        <v>0</v>
      </c>
      <c r="O12" s="10">
        <v>0</v>
      </c>
      <c r="P12" s="10">
        <v>0</v>
      </c>
      <c r="Q12" s="10">
        <v>1</v>
      </c>
      <c r="R12" s="10">
        <v>0</v>
      </c>
      <c r="S12" s="10">
        <v>0</v>
      </c>
    </row>
    <row r="13" spans="1:19" ht="121" customHeight="1" x14ac:dyDescent="0.2">
      <c r="A13" s="6" t="str">
        <f ca="1">IFERROR(__xludf.DUMMYFUNCTION("""COMPUTED_VALUE"""),"Hooke's Law")</f>
        <v>Hooke's Law</v>
      </c>
      <c r="B13" s="6" t="str">
        <f ca="1">IFERROR(__xludf.DUMMYFUNCTION("""COMPUTED_VALUE"""),"Application")</f>
        <v>Application</v>
      </c>
      <c r="C13" s="6" t="str">
        <f ca="1">IFERROR(__xludf.DUMMYFUNCTION("""COMPUTED_VALUE"""),"Verification of Hooke's Law")</f>
        <v>Verification of Hooke's Law</v>
      </c>
      <c r="D13" s="7" t="str">
        <f ca="1">IFERROR(__xludf.DUMMYFUNCTION("""COMPUTED_VALUE"""),"No task description")</f>
        <v>No task description</v>
      </c>
      <c r="E13" s="7" t="str">
        <f ca="1">IFERROR(__xludf.DUMMYFUNCTION("""COMPUTED_VALUE"""),"Golabz app/lab: ""&lt;p&gt;&amp;nbsp;&lt;/p&gt;\r\n\r\n&lt;p&gt;This lab allows student to experiment with different weights for the same spring to check Hooke's law.&lt;/p&gt;\r\n""")</f>
        <v>Golabz app/lab: "&lt;p&gt;&amp;nbsp;&lt;/p&gt;\r\n\r\n&lt;p&gt;This lab allows student to experiment with different weights for the same spring to check Hooke's law.&lt;/p&gt;\r\n"</v>
      </c>
      <c r="F13" s="7"/>
      <c r="G13" s="8">
        <v>0</v>
      </c>
      <c r="H13" s="8">
        <v>1</v>
      </c>
      <c r="I13" s="8">
        <v>0</v>
      </c>
      <c r="J13" s="8">
        <v>0</v>
      </c>
      <c r="K13" s="9">
        <v>1</v>
      </c>
      <c r="L13" s="9">
        <v>0</v>
      </c>
      <c r="M13" s="9">
        <v>0</v>
      </c>
      <c r="N13" s="9">
        <v>0</v>
      </c>
      <c r="O13" s="10">
        <v>0</v>
      </c>
      <c r="P13" s="10">
        <v>0</v>
      </c>
      <c r="Q13" s="10">
        <v>1</v>
      </c>
      <c r="R13" s="10">
        <v>0</v>
      </c>
      <c r="S13" s="10">
        <v>0</v>
      </c>
    </row>
    <row r="14" spans="1:19" ht="49" customHeight="1" x14ac:dyDescent="0.2">
      <c r="A14" s="6" t="str">
        <f ca="1">IFERROR(__xludf.DUMMYFUNCTION("""COMPUTED_VALUE"""),"Hooke's Law")</f>
        <v>Hooke's Law</v>
      </c>
      <c r="B14" s="6" t="str">
        <f ca="1">IFERROR(__xludf.DUMMYFUNCTION("""COMPUTED_VALUE"""),"Resource")</f>
        <v>Resource</v>
      </c>
      <c r="C14" s="6" t="str">
        <f ca="1">IFERROR(__xludf.DUMMYFUNCTION("""COMPUTED_VALUE"""),"to proceed.graasp")</f>
        <v>to proceed.graasp</v>
      </c>
      <c r="D14" s="7" t="str">
        <f ca="1">IFERROR(__xludf.DUMMYFUNCTION("""COMPUTED_VALUE"""),"&lt;p&gt;Once through, click on Explain to proceed&lt;/p&gt;")</f>
        <v>&lt;p&gt;Once through, click on Explain to proceed&lt;/p&gt;</v>
      </c>
      <c r="E14" s="7" t="str">
        <f ca="1">IFERROR(__xludf.DUMMYFUNCTION("""COMPUTED_VALUE"""),"No artifact embedded")</f>
        <v>No artifact embedded</v>
      </c>
      <c r="F14" s="7"/>
      <c r="G14" s="8">
        <v>0</v>
      </c>
      <c r="H14" s="8">
        <v>0</v>
      </c>
      <c r="I14" s="8">
        <v>0</v>
      </c>
      <c r="J14" s="8">
        <v>0</v>
      </c>
      <c r="K14" s="9">
        <v>0</v>
      </c>
      <c r="L14" s="9">
        <v>0</v>
      </c>
      <c r="M14" s="9">
        <v>0</v>
      </c>
      <c r="N14" s="9">
        <v>0</v>
      </c>
      <c r="O14" s="10">
        <v>0</v>
      </c>
      <c r="P14" s="10">
        <v>0</v>
      </c>
      <c r="Q14" s="10">
        <v>0</v>
      </c>
      <c r="R14" s="10">
        <v>0</v>
      </c>
      <c r="S14" s="10">
        <v>0</v>
      </c>
    </row>
    <row r="15" spans="1:19" ht="25" customHeight="1" x14ac:dyDescent="0.2">
      <c r="A15" s="6" t="str">
        <f ca="1">IFERROR(__xludf.DUMMYFUNCTION("""COMPUTED_VALUE"""),"Hooke's Law")</f>
        <v>Hooke's Law</v>
      </c>
      <c r="B15" s="6" t="str">
        <f ca="1">IFERROR(__xludf.DUMMYFUNCTION("""COMPUTED_VALUE"""),"Space")</f>
        <v>Space</v>
      </c>
      <c r="C15" s="6" t="str">
        <f ca="1">IFERROR(__xludf.DUMMYFUNCTION("""COMPUTED_VALUE"""),"Explain")</f>
        <v>Explain</v>
      </c>
      <c r="D15" s="7" t="str">
        <f ca="1">IFERROR(__xludf.DUMMYFUNCTION("""COMPUTED_VALUE"""),"No task description")</f>
        <v>No task description</v>
      </c>
      <c r="E15" s="7" t="str">
        <f ca="1">IFERROR(__xludf.DUMMYFUNCTION("""COMPUTED_VALUE"""),"No artifact embedded")</f>
        <v>No artifact embedded</v>
      </c>
      <c r="F15" s="7"/>
      <c r="G15" s="8">
        <v>0</v>
      </c>
      <c r="H15" s="8">
        <v>0</v>
      </c>
      <c r="I15" s="8">
        <v>0</v>
      </c>
      <c r="J15" s="8">
        <v>0</v>
      </c>
      <c r="K15" s="9">
        <v>0</v>
      </c>
      <c r="L15" s="9">
        <v>0</v>
      </c>
      <c r="M15" s="9">
        <v>0</v>
      </c>
      <c r="N15" s="9">
        <v>0</v>
      </c>
      <c r="O15" s="10">
        <v>0</v>
      </c>
      <c r="P15" s="10">
        <v>0</v>
      </c>
      <c r="Q15" s="10">
        <v>0</v>
      </c>
      <c r="R15" s="10">
        <v>0</v>
      </c>
      <c r="S15" s="10">
        <v>0</v>
      </c>
    </row>
    <row r="16" spans="1:19" ht="409.5" customHeight="1" x14ac:dyDescent="0.2">
      <c r="A16" s="6" t="str">
        <f ca="1">IFERROR(__xludf.DUMMYFUNCTION("""COMPUTED_VALUE"""),"Hooke's Law")</f>
        <v>Hooke's Law</v>
      </c>
      <c r="B16" s="6" t="str">
        <f ca="1">IFERROR(__xludf.DUMMYFUNCTION("""COMPUTED_VALUE"""),"Application")</f>
        <v>Application</v>
      </c>
      <c r="C16" s="6" t="str">
        <f ca="1">IFERROR(__xludf.DUMMYFUNCTION("""COMPUTED_VALUE"""),"Hypothesis Scratchpad")</f>
        <v>Hypothesis Scratchpad</v>
      </c>
      <c r="D16" s="7" t="str">
        <f ca="1">IFERROR(__xludf.DUMMYFUNCTION("""COMPUTED_VALUE"""),"No task description")</f>
        <v>No task description</v>
      </c>
      <c r="E16"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16" s="7"/>
      <c r="G16" s="8">
        <v>0</v>
      </c>
      <c r="H16" s="8">
        <v>0</v>
      </c>
      <c r="I16" s="8">
        <v>1</v>
      </c>
      <c r="J16" s="8">
        <v>0</v>
      </c>
      <c r="K16" s="9">
        <v>0</v>
      </c>
      <c r="L16" s="9">
        <v>1</v>
      </c>
      <c r="M16" s="9">
        <v>0</v>
      </c>
      <c r="N16" s="9">
        <v>0</v>
      </c>
      <c r="O16" s="10">
        <v>0</v>
      </c>
      <c r="P16" s="10">
        <v>1</v>
      </c>
      <c r="Q16" s="10">
        <v>0</v>
      </c>
      <c r="R16" s="10">
        <v>0</v>
      </c>
      <c r="S16" s="10">
        <v>0</v>
      </c>
    </row>
    <row r="17" spans="1:19" ht="85" customHeight="1" x14ac:dyDescent="0.2">
      <c r="A17" s="6" t="str">
        <f ca="1">IFERROR(__xludf.DUMMYFUNCTION("""COMPUTED_VALUE"""),"Hooke's Law")</f>
        <v>Hooke's Law</v>
      </c>
      <c r="B17" s="6" t="str">
        <f ca="1">IFERROR(__xludf.DUMMYFUNCTION("""COMPUTED_VALUE"""),"Resource")</f>
        <v>Resource</v>
      </c>
      <c r="C17" s="6" t="str">
        <f ca="1">IFERROR(__xludf.DUMMYFUNCTION("""COMPUTED_VALUE"""),"Explain.graasp")</f>
        <v>Explain.graasp</v>
      </c>
      <c r="D17" s="7" t="str">
        <f ca="1">IFERROR(__xludf.DUMMYFUNCTION("""COMPUTED_VALUE"""),"&lt;p&gt;What happens to the extension when force on the spring increases?&lt;/p&gt;&lt;p&gt;&lt;br&gt;&lt;br&gt;&lt;/p&gt;")</f>
        <v>&lt;p&gt;What happens to the extension when force on the spring increases?&lt;/p&gt;&lt;p&gt;&lt;br&gt;&lt;br&gt;&lt;/p&gt;</v>
      </c>
      <c r="E17" s="7" t="str">
        <f ca="1">IFERROR(__xludf.DUMMYFUNCTION("""COMPUTED_VALUE"""),"No artifact embedded")</f>
        <v>No artifact embedded</v>
      </c>
      <c r="F17" s="7"/>
      <c r="G17" s="8">
        <v>1</v>
      </c>
      <c r="H17" s="8">
        <v>0</v>
      </c>
      <c r="I17" s="8">
        <v>0</v>
      </c>
      <c r="J17" s="8">
        <v>0</v>
      </c>
      <c r="K17" s="9">
        <v>1</v>
      </c>
      <c r="L17" s="9">
        <v>0</v>
      </c>
      <c r="M17" s="9">
        <v>0</v>
      </c>
      <c r="N17" s="9">
        <v>0</v>
      </c>
      <c r="O17" s="10">
        <v>0</v>
      </c>
      <c r="P17" s="10">
        <v>0</v>
      </c>
      <c r="Q17" s="10">
        <v>0</v>
      </c>
      <c r="R17" s="10">
        <v>1</v>
      </c>
      <c r="S17" s="10">
        <v>0</v>
      </c>
    </row>
    <row r="18" spans="1:19" ht="318" customHeight="1" x14ac:dyDescent="0.2">
      <c r="A18" s="6" t="str">
        <f ca="1">IFERROR(__xludf.DUMMYFUNCTION("""COMPUTED_VALUE"""),"Hooke's Law")</f>
        <v>Hooke's Law</v>
      </c>
      <c r="B18" s="6" t="str">
        <f ca="1">IFERROR(__xludf.DUMMYFUNCTION("""COMPUTED_VALUE"""),"Application")</f>
        <v>Application</v>
      </c>
      <c r="C18" s="6" t="str">
        <f ca="1">IFERROR(__xludf.DUMMYFUNCTION("""COMPUTED_VALUE"""),"Input Box")</f>
        <v>Input Box</v>
      </c>
      <c r="D18" s="7" t="str">
        <f ca="1">IFERROR(__xludf.DUMMYFUNCTION("""COMPUTED_VALUE"""),"No task description")</f>
        <v>No task description</v>
      </c>
      <c r="E1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8" s="7"/>
      <c r="G18" s="8">
        <v>0</v>
      </c>
      <c r="H18" s="8">
        <v>0</v>
      </c>
      <c r="I18" s="8">
        <v>1</v>
      </c>
      <c r="J18" s="8">
        <v>0</v>
      </c>
      <c r="K18" s="9">
        <v>0</v>
      </c>
      <c r="L18" s="9">
        <v>1</v>
      </c>
      <c r="M18" s="9">
        <v>0</v>
      </c>
      <c r="N18" s="9">
        <v>0</v>
      </c>
      <c r="O18" s="10">
        <v>0</v>
      </c>
      <c r="P18" s="10">
        <v>0</v>
      </c>
      <c r="Q18" s="10">
        <v>0</v>
      </c>
      <c r="R18" s="10">
        <v>0</v>
      </c>
      <c r="S18" s="10">
        <v>0</v>
      </c>
    </row>
    <row r="19" spans="1:19" ht="121" customHeight="1" x14ac:dyDescent="0.2">
      <c r="A19" s="6" t="str">
        <f ca="1">IFERROR(__xludf.DUMMYFUNCTION("""COMPUTED_VALUE"""),"Hooke's Law")</f>
        <v>Hooke's Law</v>
      </c>
      <c r="B19" s="6" t="str">
        <f ca="1">IFERROR(__xludf.DUMMYFUNCTION("""COMPUTED_VALUE"""),"Resource")</f>
        <v>Resource</v>
      </c>
      <c r="C19" s="6" t="str">
        <f ca="1">IFERROR(__xludf.DUMMYFUNCTION("""COMPUTED_VALUE"""),"explain 2.graasp")</f>
        <v>explain 2.graasp</v>
      </c>
      <c r="D19" s="7" t="str">
        <f ca="1">IFERROR(__xludf.DUMMYFUNCTION("""COMPUTED_VALUE"""),"&lt;p&gt;What do you think is the relationship between the applied forces (weight of suspended mass) to the extensions on the spring?&lt;/p&gt;")</f>
        <v>&lt;p&gt;What do you think is the relationship between the applied forces (weight of suspended mass) to the extensions on the spring?&lt;/p&gt;</v>
      </c>
      <c r="E19" s="7" t="str">
        <f ca="1">IFERROR(__xludf.DUMMYFUNCTION("""COMPUTED_VALUE"""),"No artifact embedded")</f>
        <v>No artifact embedded</v>
      </c>
      <c r="F19" s="7"/>
      <c r="G19" s="8">
        <v>1</v>
      </c>
      <c r="H19" s="8">
        <v>0</v>
      </c>
      <c r="I19" s="8">
        <v>0</v>
      </c>
      <c r="J19" s="8">
        <v>0</v>
      </c>
      <c r="K19" s="9">
        <v>1</v>
      </c>
      <c r="L19" s="9">
        <v>0</v>
      </c>
      <c r="M19" s="9">
        <v>0</v>
      </c>
      <c r="N19" s="9">
        <v>0</v>
      </c>
      <c r="O19" s="10">
        <v>0</v>
      </c>
      <c r="P19" s="10">
        <v>0</v>
      </c>
      <c r="Q19" s="10">
        <v>0</v>
      </c>
      <c r="R19" s="10">
        <v>1</v>
      </c>
      <c r="S19" s="10">
        <v>0</v>
      </c>
    </row>
    <row r="20" spans="1:19" ht="318" customHeight="1" x14ac:dyDescent="0.2">
      <c r="A20" s="6" t="str">
        <f ca="1">IFERROR(__xludf.DUMMYFUNCTION("""COMPUTED_VALUE"""),"Hooke's Law")</f>
        <v>Hooke's Law</v>
      </c>
      <c r="B20" s="6" t="str">
        <f ca="1">IFERROR(__xludf.DUMMYFUNCTION("""COMPUTED_VALUE"""),"Application")</f>
        <v>Application</v>
      </c>
      <c r="C20" s="6" t="str">
        <f ca="1">IFERROR(__xludf.DUMMYFUNCTION("""COMPUTED_VALUE"""),"Input Box (1)")</f>
        <v>Input Box (1)</v>
      </c>
      <c r="D20" s="7" t="str">
        <f ca="1">IFERROR(__xludf.DUMMYFUNCTION("""COMPUTED_VALUE"""),"No task description")</f>
        <v>No task description</v>
      </c>
      <c r="E2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0" s="7"/>
      <c r="G20" s="8">
        <v>0</v>
      </c>
      <c r="H20" s="8">
        <v>0</v>
      </c>
      <c r="I20" s="8">
        <v>1</v>
      </c>
      <c r="J20" s="8">
        <v>0</v>
      </c>
      <c r="K20" s="9">
        <v>0</v>
      </c>
      <c r="L20" s="9">
        <v>1</v>
      </c>
      <c r="M20" s="9">
        <v>0</v>
      </c>
      <c r="N20" s="9">
        <v>0</v>
      </c>
      <c r="O20" s="10">
        <v>0</v>
      </c>
      <c r="P20" s="10">
        <v>0</v>
      </c>
      <c r="Q20" s="10">
        <v>0</v>
      </c>
      <c r="R20" s="10">
        <v>0</v>
      </c>
      <c r="S20" s="10">
        <v>0</v>
      </c>
    </row>
    <row r="21" spans="1:19" ht="85" customHeight="1" x14ac:dyDescent="0.2">
      <c r="A21" s="6" t="str">
        <f ca="1">IFERROR(__xludf.DUMMYFUNCTION("""COMPUTED_VALUE"""),"Hooke's Law")</f>
        <v>Hooke's Law</v>
      </c>
      <c r="B21" s="6" t="str">
        <f ca="1">IFERROR(__xludf.DUMMYFUNCTION("""COMPUTED_VALUE"""),"Resource")</f>
        <v>Resource</v>
      </c>
      <c r="C21" s="6" t="str">
        <f ca="1">IFERROR(__xludf.DUMMYFUNCTION("""COMPUTED_VALUE"""),"explain 3.graasp")</f>
        <v>explain 3.graasp</v>
      </c>
      <c r="D21" s="7" t="str">
        <f ca="1">IFERROR(__xludf.DUMMYFUNCTION("""COMPUTED_VALUE"""),"&lt;p&gt;Is the measure of extension on the spring the same when loading the masses as when offloading?&lt;/p&gt;")</f>
        <v>&lt;p&gt;Is the measure of extension on the spring the same when loading the masses as when offloading?&lt;/p&gt;</v>
      </c>
      <c r="E21" s="7" t="str">
        <f ca="1">IFERROR(__xludf.DUMMYFUNCTION("""COMPUTED_VALUE"""),"No artifact embedded")</f>
        <v>No artifact embedded</v>
      </c>
      <c r="F21" s="7"/>
      <c r="G21" s="8">
        <v>1</v>
      </c>
      <c r="H21" s="8">
        <v>0</v>
      </c>
      <c r="I21" s="8">
        <v>0</v>
      </c>
      <c r="J21" s="8">
        <v>0</v>
      </c>
      <c r="K21" s="9">
        <v>1</v>
      </c>
      <c r="L21" s="9">
        <v>0</v>
      </c>
      <c r="M21" s="9">
        <v>0</v>
      </c>
      <c r="N21" s="9">
        <v>0</v>
      </c>
      <c r="O21" s="10">
        <v>0</v>
      </c>
      <c r="P21" s="10">
        <v>0</v>
      </c>
      <c r="Q21" s="10">
        <v>0</v>
      </c>
      <c r="R21" s="10">
        <v>1</v>
      </c>
      <c r="S21" s="10">
        <v>0</v>
      </c>
    </row>
    <row r="22" spans="1:19" ht="318" customHeight="1" x14ac:dyDescent="0.2">
      <c r="A22" s="6" t="str">
        <f ca="1">IFERROR(__xludf.DUMMYFUNCTION("""COMPUTED_VALUE"""),"Hooke's Law")</f>
        <v>Hooke's Law</v>
      </c>
      <c r="B22" s="6" t="str">
        <f ca="1">IFERROR(__xludf.DUMMYFUNCTION("""COMPUTED_VALUE"""),"Application")</f>
        <v>Application</v>
      </c>
      <c r="C22" s="6" t="str">
        <f ca="1">IFERROR(__xludf.DUMMYFUNCTION("""COMPUTED_VALUE"""),"Input Box (2)")</f>
        <v>Input Box (2)</v>
      </c>
      <c r="D22" s="7" t="str">
        <f ca="1">IFERROR(__xludf.DUMMYFUNCTION("""COMPUTED_VALUE"""),"No task description")</f>
        <v>No task description</v>
      </c>
      <c r="E2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2" s="7"/>
      <c r="G22" s="8">
        <v>0</v>
      </c>
      <c r="H22" s="8">
        <v>0</v>
      </c>
      <c r="I22" s="8">
        <v>1</v>
      </c>
      <c r="J22" s="8">
        <v>0</v>
      </c>
      <c r="K22" s="9">
        <v>0</v>
      </c>
      <c r="L22" s="9">
        <v>1</v>
      </c>
      <c r="M22" s="9">
        <v>0</v>
      </c>
      <c r="N22" s="9">
        <v>0</v>
      </c>
      <c r="O22" s="10">
        <v>0</v>
      </c>
      <c r="P22" s="10">
        <v>0</v>
      </c>
      <c r="Q22" s="10">
        <v>0</v>
      </c>
      <c r="R22" s="10">
        <v>0</v>
      </c>
      <c r="S22" s="10">
        <v>0</v>
      </c>
    </row>
    <row r="23" spans="1:19" ht="37" customHeight="1" x14ac:dyDescent="0.2">
      <c r="A23" s="6" t="str">
        <f ca="1">IFERROR(__xludf.DUMMYFUNCTION("""COMPUTED_VALUE"""),"Hooke's Law")</f>
        <v>Hooke's Law</v>
      </c>
      <c r="B23" s="6" t="str">
        <f ca="1">IFERROR(__xludf.DUMMYFUNCTION("""COMPUTED_VALUE"""),"Resource")</f>
        <v>Resource</v>
      </c>
      <c r="C23" s="6" t="str">
        <f ca="1">IFERROR(__xludf.DUMMYFUNCTION("""COMPUTED_VALUE"""),"to proceed.graasp")</f>
        <v>to proceed.graasp</v>
      </c>
      <c r="D23" s="7" t="str">
        <f ca="1">IFERROR(__xludf.DUMMYFUNCTION("""COMPUTED_VALUE"""),"&lt;p&gt;Click on Elaborate to continue&lt;/p&gt;")</f>
        <v>&lt;p&gt;Click on Elaborate to continue&lt;/p&gt;</v>
      </c>
      <c r="E23" s="7" t="str">
        <f ca="1">IFERROR(__xludf.DUMMYFUNCTION("""COMPUTED_VALUE"""),"No artifact embedded")</f>
        <v>No artifact embedded</v>
      </c>
      <c r="F23" s="7"/>
      <c r="G23" s="8">
        <v>0</v>
      </c>
      <c r="H23" s="8">
        <v>0</v>
      </c>
      <c r="I23" s="8">
        <v>0</v>
      </c>
      <c r="J23" s="8">
        <v>0</v>
      </c>
      <c r="K23" s="9">
        <v>0</v>
      </c>
      <c r="L23" s="9">
        <v>0</v>
      </c>
      <c r="M23" s="9">
        <v>0</v>
      </c>
      <c r="N23" s="9">
        <v>0</v>
      </c>
      <c r="O23" s="10">
        <v>0</v>
      </c>
      <c r="P23" s="10">
        <v>0</v>
      </c>
      <c r="Q23" s="10">
        <v>0</v>
      </c>
      <c r="R23" s="10">
        <v>0</v>
      </c>
      <c r="S23" s="10">
        <v>0</v>
      </c>
    </row>
    <row r="24" spans="1:19" ht="25" customHeight="1" x14ac:dyDescent="0.2">
      <c r="A24" s="6" t="str">
        <f ca="1">IFERROR(__xludf.DUMMYFUNCTION("""COMPUTED_VALUE"""),"Hooke's Law")</f>
        <v>Hooke's Law</v>
      </c>
      <c r="B24" s="6" t="str">
        <f ca="1">IFERROR(__xludf.DUMMYFUNCTION("""COMPUTED_VALUE"""),"Space")</f>
        <v>Space</v>
      </c>
      <c r="C24" s="6" t="str">
        <f ca="1">IFERROR(__xludf.DUMMYFUNCTION("""COMPUTED_VALUE"""),"Elaborate")</f>
        <v>Elaborate</v>
      </c>
      <c r="D24" s="7" t="str">
        <f ca="1">IFERROR(__xludf.DUMMYFUNCTION("""COMPUTED_VALUE"""),"No task description")</f>
        <v>No task description</v>
      </c>
      <c r="E24" s="7" t="str">
        <f ca="1">IFERROR(__xludf.DUMMYFUNCTION("""COMPUTED_VALUE"""),"No artifact embedded")</f>
        <v>No artifact embedded</v>
      </c>
      <c r="F24" s="7"/>
      <c r="G24" s="8">
        <v>0</v>
      </c>
      <c r="H24" s="8">
        <v>0</v>
      </c>
      <c r="I24" s="8">
        <v>0</v>
      </c>
      <c r="J24" s="8">
        <v>0</v>
      </c>
      <c r="K24" s="9">
        <v>0</v>
      </c>
      <c r="L24" s="9">
        <v>0</v>
      </c>
      <c r="M24" s="9">
        <v>0</v>
      </c>
      <c r="N24" s="9">
        <v>0</v>
      </c>
      <c r="O24" s="10">
        <v>0</v>
      </c>
      <c r="P24" s="10">
        <v>0</v>
      </c>
      <c r="Q24" s="10">
        <v>0</v>
      </c>
      <c r="R24" s="10">
        <v>0</v>
      </c>
      <c r="S24" s="10">
        <v>0</v>
      </c>
    </row>
    <row r="25" spans="1:19" ht="409.5" customHeight="1" x14ac:dyDescent="0.2">
      <c r="A25" s="6" t="str">
        <f ca="1">IFERROR(__xludf.DUMMYFUNCTION("""COMPUTED_VALUE"""),"Hooke's Law")</f>
        <v>Hooke's Law</v>
      </c>
      <c r="B25" s="6" t="str">
        <f ca="1">IFERROR(__xludf.DUMMYFUNCTION("""COMPUTED_VALUE"""),"Resource")</f>
        <v>Resource</v>
      </c>
      <c r="C25" s="6" t="str">
        <f ca="1">IFERROR(__xludf.DUMMYFUNCTION("""COMPUTED_VALUE"""),"Elaboration.graasp")</f>
        <v>Elaboration.graasp</v>
      </c>
      <c r="D25" s="7" t="str">
        <f ca="1">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v>
      </c>
      <c r="E25" s="7" t="str">
        <f ca="1">IFERROR(__xludf.DUMMYFUNCTION("""COMPUTED_VALUE"""),"No artifact embedded")</f>
        <v>No artifact embedded</v>
      </c>
      <c r="F25" s="7"/>
      <c r="G25" s="8">
        <v>1</v>
      </c>
      <c r="H25" s="8">
        <v>0</v>
      </c>
      <c r="I25" s="8">
        <v>0</v>
      </c>
      <c r="J25" s="8">
        <v>0</v>
      </c>
      <c r="K25" s="9">
        <v>1</v>
      </c>
      <c r="L25" s="9">
        <v>0</v>
      </c>
      <c r="M25" s="9">
        <v>0</v>
      </c>
      <c r="N25" s="9">
        <v>0</v>
      </c>
      <c r="O25" s="10">
        <v>1</v>
      </c>
      <c r="P25" s="10">
        <v>0</v>
      </c>
      <c r="Q25" s="10">
        <v>0</v>
      </c>
      <c r="R25" s="10">
        <v>0</v>
      </c>
      <c r="S25" s="10">
        <v>0</v>
      </c>
    </row>
    <row r="26" spans="1:19" ht="37" customHeight="1" x14ac:dyDescent="0.2">
      <c r="A26" s="6" t="str">
        <f ca="1">IFERROR(__xludf.DUMMYFUNCTION("""COMPUTED_VALUE"""),"Hooke's Law")</f>
        <v>Hooke's Law</v>
      </c>
      <c r="B26" s="6" t="str">
        <f ca="1">IFERROR(__xludf.DUMMYFUNCTION("""COMPUTED_VALUE"""),"Resource")</f>
        <v>Resource</v>
      </c>
      <c r="C26" s="6" t="str">
        <f ca="1">IFERROR(__xludf.DUMMYFUNCTION("""COMPUTED_VALUE"""),"to proceed.graasp")</f>
        <v>to proceed.graasp</v>
      </c>
      <c r="D26" s="7" t="str">
        <f ca="1">IFERROR(__xludf.DUMMYFUNCTION("""COMPUTED_VALUE"""),"&lt;p&gt;Click on Evaluation to continue&lt;/p&gt;")</f>
        <v>&lt;p&gt;Click on Evaluation to continue&lt;/p&gt;</v>
      </c>
      <c r="E26" s="7" t="str">
        <f ca="1">IFERROR(__xludf.DUMMYFUNCTION("""COMPUTED_VALUE"""),"No artifact embedded")</f>
        <v>No artifact embedded</v>
      </c>
      <c r="F26" s="7"/>
      <c r="G26" s="8">
        <v>0</v>
      </c>
      <c r="H26" s="8">
        <v>0</v>
      </c>
      <c r="I26" s="8">
        <v>0</v>
      </c>
      <c r="J26" s="8">
        <v>0</v>
      </c>
      <c r="K26" s="9">
        <v>0</v>
      </c>
      <c r="L26" s="9">
        <v>0</v>
      </c>
      <c r="M26" s="9">
        <v>0</v>
      </c>
      <c r="N26" s="9">
        <v>0</v>
      </c>
      <c r="O26" s="10">
        <v>0</v>
      </c>
      <c r="P26" s="10">
        <v>0</v>
      </c>
      <c r="Q26" s="10">
        <v>0</v>
      </c>
      <c r="R26" s="10">
        <v>0</v>
      </c>
      <c r="S26" s="10">
        <v>0</v>
      </c>
    </row>
    <row r="27" spans="1:19" ht="25" customHeight="1" x14ac:dyDescent="0.2">
      <c r="A27" s="6" t="str">
        <f ca="1">IFERROR(__xludf.DUMMYFUNCTION("""COMPUTED_VALUE"""),"Hooke's Law")</f>
        <v>Hooke's Law</v>
      </c>
      <c r="B27" s="6" t="str">
        <f ca="1">IFERROR(__xludf.DUMMYFUNCTION("""COMPUTED_VALUE"""),"Space")</f>
        <v>Space</v>
      </c>
      <c r="C27" s="6" t="str">
        <f ca="1">IFERROR(__xludf.DUMMYFUNCTION("""COMPUTED_VALUE"""),"Evaluation")</f>
        <v>Evaluation</v>
      </c>
      <c r="D27" s="7" t="str">
        <f ca="1">IFERROR(__xludf.DUMMYFUNCTION("""COMPUTED_VALUE"""),"No task description")</f>
        <v>No task description</v>
      </c>
      <c r="E27" s="7" t="str">
        <f ca="1">IFERROR(__xludf.DUMMYFUNCTION("""COMPUTED_VALUE"""),"No artifact embedded")</f>
        <v>No artifact embedded</v>
      </c>
      <c r="F27" s="7"/>
      <c r="G27" s="8">
        <v>0</v>
      </c>
      <c r="H27" s="8">
        <v>0</v>
      </c>
      <c r="I27" s="8">
        <v>0</v>
      </c>
      <c r="J27" s="8">
        <v>0</v>
      </c>
      <c r="K27" s="9">
        <v>0</v>
      </c>
      <c r="L27" s="9">
        <v>0</v>
      </c>
      <c r="M27" s="9">
        <v>0</v>
      </c>
      <c r="N27" s="9">
        <v>0</v>
      </c>
      <c r="O27" s="10">
        <v>0</v>
      </c>
      <c r="P27" s="10">
        <v>0</v>
      </c>
      <c r="Q27" s="10">
        <v>0</v>
      </c>
      <c r="R27" s="10">
        <v>0</v>
      </c>
      <c r="S27" s="10">
        <v>0</v>
      </c>
    </row>
    <row r="28" spans="1:19" ht="274" customHeight="1" x14ac:dyDescent="0.2">
      <c r="A28" s="6" t="str">
        <f ca="1">IFERROR(__xludf.DUMMYFUNCTION("""COMPUTED_VALUE"""),"Hooke's Law")</f>
        <v>Hooke's Law</v>
      </c>
      <c r="B28" s="6" t="str">
        <f ca="1">IFERROR(__xludf.DUMMYFUNCTION("""COMPUTED_VALUE"""),"Application")</f>
        <v>Application</v>
      </c>
      <c r="C28" s="6" t="str">
        <f ca="1">IFERROR(__xludf.DUMMYFUNCTION("""COMPUTED_VALUE"""),"Quiz Tool")</f>
        <v>Quiz Tool</v>
      </c>
      <c r="D28" s="7" t="str">
        <f ca="1">IFERROR(__xludf.DUMMYFUNCTION("""COMPUTED_VALUE"""),"&lt;p&gt;Attempt the following questions&lt;/p&gt;")</f>
        <v>&lt;p&gt;Attempt the following questions&lt;/p&gt;</v>
      </c>
      <c r="E28"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8" s="7"/>
      <c r="G28" s="8">
        <v>0</v>
      </c>
      <c r="H28" s="8">
        <v>0</v>
      </c>
      <c r="I28" s="8">
        <v>0</v>
      </c>
      <c r="J28" s="8">
        <v>1</v>
      </c>
      <c r="K28" s="9">
        <v>0</v>
      </c>
      <c r="L28" s="9">
        <v>1</v>
      </c>
      <c r="M28" s="9">
        <v>0</v>
      </c>
      <c r="N28" s="9">
        <v>0</v>
      </c>
      <c r="O28" s="10">
        <v>0</v>
      </c>
      <c r="P28" s="10">
        <v>0</v>
      </c>
      <c r="Q28" s="10">
        <v>0</v>
      </c>
      <c r="R28" s="10">
        <v>0</v>
      </c>
      <c r="S28" s="10">
        <v>1</v>
      </c>
    </row>
    <row r="29" spans="1:19" ht="37" customHeight="1" x14ac:dyDescent="0.2">
      <c r="A29" s="6" t="str">
        <f ca="1">IFERROR(__xludf.DUMMYFUNCTION("""COMPUTED_VALUE"""),"Hooke's Law")</f>
        <v>Hooke's Law</v>
      </c>
      <c r="B29" s="6" t="str">
        <f ca="1">IFERROR(__xludf.DUMMYFUNCTION("""COMPUTED_VALUE"""),"Resource")</f>
        <v>Resource</v>
      </c>
      <c r="C29" s="6" t="str">
        <f ca="1">IFERROR(__xludf.DUMMYFUNCTION("""COMPUTED_VALUE"""),"Q5..graasp")</f>
        <v>Q5..graasp</v>
      </c>
      <c r="D29" s="7" t="str">
        <f ca="1">IFERROR(__xludf.DUMMYFUNCTION("""COMPUTED_VALUE"""),"&lt;p&gt;Q6. State Hooke's Law &lt;/p&gt;")</f>
        <v>&lt;p&gt;Q6. State Hooke's Law &lt;/p&gt;</v>
      </c>
      <c r="E29" s="7" t="str">
        <f ca="1">IFERROR(__xludf.DUMMYFUNCTION("""COMPUTED_VALUE"""),"No artifact embedded")</f>
        <v>No artifact embedded</v>
      </c>
      <c r="F29" s="7"/>
      <c r="G29" s="8">
        <v>0</v>
      </c>
      <c r="H29" s="8">
        <v>0</v>
      </c>
      <c r="I29" s="8">
        <v>1</v>
      </c>
      <c r="J29" s="8">
        <v>0</v>
      </c>
      <c r="K29" s="9">
        <v>0</v>
      </c>
      <c r="L29" s="9">
        <v>1</v>
      </c>
      <c r="M29" s="9">
        <v>0</v>
      </c>
      <c r="N29" s="9">
        <v>0</v>
      </c>
      <c r="O29" s="10">
        <v>0</v>
      </c>
      <c r="P29" s="10">
        <v>0</v>
      </c>
      <c r="Q29" s="10">
        <v>0</v>
      </c>
      <c r="R29" s="10">
        <v>0</v>
      </c>
      <c r="S29" s="10">
        <v>0</v>
      </c>
    </row>
    <row r="30" spans="1:19" ht="318" customHeight="1" x14ac:dyDescent="0.2">
      <c r="A30" s="6" t="str">
        <f ca="1">IFERROR(__xludf.DUMMYFUNCTION("""COMPUTED_VALUE"""),"Hooke's Law")</f>
        <v>Hooke's Law</v>
      </c>
      <c r="B30" s="6" t="str">
        <f ca="1">IFERROR(__xludf.DUMMYFUNCTION("""COMPUTED_VALUE"""),"Application")</f>
        <v>Application</v>
      </c>
      <c r="C30" s="6" t="str">
        <f ca="1">IFERROR(__xludf.DUMMYFUNCTION("""COMPUTED_VALUE"""),"Input Box")</f>
        <v>Input Box</v>
      </c>
      <c r="D30" s="7" t="str">
        <f ca="1">IFERROR(__xludf.DUMMYFUNCTION("""COMPUTED_VALUE"""),"No task description")</f>
        <v>No task description</v>
      </c>
      <c r="E3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0" s="7"/>
      <c r="G30" s="8">
        <v>0</v>
      </c>
      <c r="H30" s="8">
        <v>0</v>
      </c>
      <c r="I30" s="8">
        <v>1</v>
      </c>
      <c r="J30" s="8">
        <v>0</v>
      </c>
      <c r="K30" s="9">
        <v>0</v>
      </c>
      <c r="L30" s="9">
        <v>1</v>
      </c>
      <c r="M30" s="9">
        <v>0</v>
      </c>
      <c r="N30" s="9">
        <v>0</v>
      </c>
      <c r="O30" s="10">
        <v>0</v>
      </c>
      <c r="P30" s="10">
        <v>0</v>
      </c>
      <c r="Q30" s="10">
        <v>0</v>
      </c>
      <c r="R30" s="10">
        <v>0</v>
      </c>
      <c r="S30" s="10">
        <v>0</v>
      </c>
    </row>
    <row r="31" spans="1:19" ht="73" customHeight="1" x14ac:dyDescent="0.2">
      <c r="A31" s="6" t="str">
        <f ca="1">IFERROR(__xludf.DUMMYFUNCTION("""COMPUTED_VALUE"""),"Hooke's Law")</f>
        <v>Hooke's Law</v>
      </c>
      <c r="B31" s="6" t="str">
        <f ca="1">IFERROR(__xludf.DUMMYFUNCTION("""COMPUTED_VALUE"""),"Application")</f>
        <v>Application</v>
      </c>
      <c r="C31" s="6" t="str">
        <f ca="1">IFERROR(__xludf.DUMMYFUNCTION("""COMPUTED_VALUE"""),"Teacher Feedback")</f>
        <v>Teacher Feedback</v>
      </c>
      <c r="D31" s="7" t="str">
        <f ca="1">IFERROR(__xludf.DUMMYFUNCTION("""COMPUTED_VALUE"""),"No task description")</f>
        <v>No task description</v>
      </c>
      <c r="E31" s="7" t="str">
        <f ca="1">IFERROR(__xludf.DUMMYFUNCTION("""COMPUTED_VALUE"""),"Golabz app/lab: ""&lt;p&gt;A tool where teachers can provide feedback to students&lt;/p&gt;\r\n""")</f>
        <v>Golabz app/lab: "&lt;p&gt;A tool where teachers can provide feedback to students&lt;/p&gt;\r\n"</v>
      </c>
      <c r="F31" s="7"/>
      <c r="G31" s="8">
        <v>1</v>
      </c>
      <c r="H31" s="8">
        <v>0</v>
      </c>
      <c r="I31" s="8">
        <v>0</v>
      </c>
      <c r="J31" s="8">
        <v>0</v>
      </c>
      <c r="K31" s="9">
        <v>1</v>
      </c>
      <c r="L31" s="9">
        <v>0</v>
      </c>
      <c r="M31" s="9">
        <v>0</v>
      </c>
      <c r="N31" s="9">
        <v>0</v>
      </c>
      <c r="O31" s="10">
        <v>0</v>
      </c>
      <c r="P31" s="10">
        <v>0</v>
      </c>
      <c r="Q31" s="10">
        <v>0</v>
      </c>
      <c r="R31" s="10">
        <v>0</v>
      </c>
      <c r="S31" s="10">
        <v>1</v>
      </c>
    </row>
    <row r="32" spans="1:19" ht="109" customHeight="1" x14ac:dyDescent="0.2">
      <c r="A32" s="6" t="str">
        <f ca="1">IFERROR(__xludf.DUMMYFUNCTION("""COMPUTED_VALUE"""),"Hooke's Law")</f>
        <v>Hooke's Law</v>
      </c>
      <c r="B32" s="6" t="str">
        <f ca="1">IFERROR(__xludf.DUMMYFUNCTION("""COMPUTED_VALUE"""),"Resource")</f>
        <v>Resource</v>
      </c>
      <c r="C32" s="6" t="str">
        <f ca="1">IFERROR(__xludf.DUMMYFUNCTION("""COMPUTED_VALUE"""),"Q6..graasp")</f>
        <v>Q6..graasp</v>
      </c>
      <c r="D32" s="7" t="str">
        <f ca="1">IFERROR(__xludf.DUMMYFUNCTION("""COMPUTED_VALUE"""),"&lt;p&gt;Q7. State one practical application of materials that;&lt;/p&gt;&lt;p&gt;(i) Obey Hooke's Law&lt;/p&gt;&lt;p&gt;(ii) Do not obey Hooke's Law&lt;/p&gt;")</f>
        <v>&lt;p&gt;Q7. State one practical application of materials that;&lt;/p&gt;&lt;p&gt;(i) Obey Hooke's Law&lt;/p&gt;&lt;p&gt;(ii) Do not obey Hooke's Law&lt;/p&gt;</v>
      </c>
      <c r="E32" s="7" t="str">
        <f ca="1">IFERROR(__xludf.DUMMYFUNCTION("""COMPUTED_VALUE"""),"No artifact embedded")</f>
        <v>No artifact embedded</v>
      </c>
      <c r="F32" s="7"/>
      <c r="G32" s="8">
        <v>0</v>
      </c>
      <c r="H32" s="8">
        <v>0</v>
      </c>
      <c r="I32" s="8">
        <v>1</v>
      </c>
      <c r="J32" s="8">
        <v>0</v>
      </c>
      <c r="K32" s="9">
        <v>0</v>
      </c>
      <c r="L32" s="9">
        <v>1</v>
      </c>
      <c r="M32" s="9">
        <v>0</v>
      </c>
      <c r="N32" s="9">
        <v>0</v>
      </c>
      <c r="O32" s="10">
        <v>0</v>
      </c>
      <c r="P32" s="10">
        <v>0</v>
      </c>
      <c r="Q32" s="10">
        <v>0</v>
      </c>
      <c r="R32" s="10">
        <v>0</v>
      </c>
      <c r="S32" s="10">
        <v>1</v>
      </c>
    </row>
    <row r="33" spans="1:19" ht="318" customHeight="1" x14ac:dyDescent="0.2">
      <c r="A33" s="6" t="str">
        <f ca="1">IFERROR(__xludf.DUMMYFUNCTION("""COMPUTED_VALUE"""),"Hooke's Law")</f>
        <v>Hooke's Law</v>
      </c>
      <c r="B33" s="6" t="str">
        <f ca="1">IFERROR(__xludf.DUMMYFUNCTION("""COMPUTED_VALUE"""),"Application")</f>
        <v>Application</v>
      </c>
      <c r="C33" s="6" t="str">
        <f ca="1">IFERROR(__xludf.DUMMYFUNCTION("""COMPUTED_VALUE"""),"Input Box (1)")</f>
        <v>Input Box (1)</v>
      </c>
      <c r="D33" s="7" t="str">
        <f ca="1">IFERROR(__xludf.DUMMYFUNCTION("""COMPUTED_VALUE"""),"No task description")</f>
        <v>No task description</v>
      </c>
      <c r="E3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3" s="7"/>
      <c r="G33" s="8">
        <v>0</v>
      </c>
      <c r="H33" s="8">
        <v>0</v>
      </c>
      <c r="I33" s="8">
        <v>1</v>
      </c>
      <c r="J33" s="8">
        <v>0</v>
      </c>
      <c r="K33" s="9">
        <v>0</v>
      </c>
      <c r="L33" s="9">
        <v>1</v>
      </c>
      <c r="M33" s="9">
        <v>0</v>
      </c>
      <c r="N33" s="9">
        <v>0</v>
      </c>
      <c r="O33" s="10">
        <v>0</v>
      </c>
      <c r="P33" s="10">
        <v>0</v>
      </c>
      <c r="Q33" s="10">
        <v>0</v>
      </c>
      <c r="R33" s="10">
        <v>0</v>
      </c>
      <c r="S33" s="10">
        <v>0</v>
      </c>
    </row>
    <row r="34" spans="1:19" ht="73" customHeight="1" x14ac:dyDescent="0.2">
      <c r="A34" s="6" t="str">
        <f ca="1">IFERROR(__xludf.DUMMYFUNCTION("""COMPUTED_VALUE"""),"Hooke's Law")</f>
        <v>Hooke's Law</v>
      </c>
      <c r="B34" s="6" t="str">
        <f ca="1">IFERROR(__xludf.DUMMYFUNCTION("""COMPUTED_VALUE"""),"Application")</f>
        <v>Application</v>
      </c>
      <c r="C34" s="6" t="str">
        <f ca="1">IFERROR(__xludf.DUMMYFUNCTION("""COMPUTED_VALUE"""),"Teacher Feedback (1)")</f>
        <v>Teacher Feedback (1)</v>
      </c>
      <c r="D34" s="7" t="str">
        <f ca="1">IFERROR(__xludf.DUMMYFUNCTION("""COMPUTED_VALUE"""),"No task description")</f>
        <v>No task description</v>
      </c>
      <c r="E34" s="7" t="str">
        <f ca="1">IFERROR(__xludf.DUMMYFUNCTION("""COMPUTED_VALUE"""),"Golabz app/lab: ""&lt;p&gt;A tool where teachers can provide feedback to students&lt;/p&gt;\r\n""")</f>
        <v>Golabz app/lab: "&lt;p&gt;A tool where teachers can provide feedback to students&lt;/p&gt;\r\n"</v>
      </c>
      <c r="F34" s="7"/>
      <c r="G34" s="8">
        <v>1</v>
      </c>
      <c r="H34" s="8">
        <v>0</v>
      </c>
      <c r="I34" s="8">
        <v>0</v>
      </c>
      <c r="J34" s="8">
        <v>0</v>
      </c>
      <c r="K34" s="9">
        <v>1</v>
      </c>
      <c r="L34" s="9">
        <v>0</v>
      </c>
      <c r="M34" s="9">
        <v>0</v>
      </c>
      <c r="N34" s="9">
        <v>0</v>
      </c>
      <c r="O34" s="10">
        <v>0</v>
      </c>
      <c r="P34" s="10">
        <v>0</v>
      </c>
      <c r="Q34" s="10">
        <v>0</v>
      </c>
      <c r="R34" s="10">
        <v>0</v>
      </c>
      <c r="S34" s="10">
        <v>1</v>
      </c>
    </row>
    <row r="35" spans="1:19" ht="25" customHeight="1" x14ac:dyDescent="0.2">
      <c r="A35" s="6" t="str">
        <f ca="1">IFERROR(__xludf.DUMMYFUNCTION("""COMPUTED_VALUE"""),"Hooke's Law")</f>
        <v>Hooke's Law</v>
      </c>
      <c r="B35" s="6" t="str">
        <f ca="1">IFERROR(__xludf.DUMMYFUNCTION("""COMPUTED_VALUE"""),"Space")</f>
        <v>Space</v>
      </c>
      <c r="C35" s="6" t="str">
        <f ca="1">IFERROR(__xludf.DUMMYFUNCTION("""COMPUTED_VALUE"""),"Assignment")</f>
        <v>Assignment</v>
      </c>
      <c r="D35" s="7" t="str">
        <f ca="1">IFERROR(__xludf.DUMMYFUNCTION("""COMPUTED_VALUE"""),"No task description")</f>
        <v>No task description</v>
      </c>
      <c r="E35" s="7" t="str">
        <f ca="1">IFERROR(__xludf.DUMMYFUNCTION("""COMPUTED_VALUE"""),"No artifact embedded")</f>
        <v>No artifact embedded</v>
      </c>
      <c r="F35" s="7"/>
      <c r="G35" s="8">
        <v>0</v>
      </c>
      <c r="H35" s="8">
        <v>0</v>
      </c>
      <c r="I35" s="8">
        <v>0</v>
      </c>
      <c r="J35" s="8">
        <v>0</v>
      </c>
      <c r="K35" s="9">
        <v>0</v>
      </c>
      <c r="L35" s="9">
        <v>0</v>
      </c>
      <c r="M35" s="9">
        <v>0</v>
      </c>
      <c r="N35" s="9">
        <v>0</v>
      </c>
      <c r="O35" s="10">
        <v>0</v>
      </c>
      <c r="P35" s="10">
        <v>0</v>
      </c>
      <c r="Q35" s="10">
        <v>0</v>
      </c>
      <c r="R35" s="10">
        <v>0</v>
      </c>
      <c r="S35" s="10">
        <v>0</v>
      </c>
    </row>
    <row r="36" spans="1:19" ht="181" customHeight="1" x14ac:dyDescent="0.2">
      <c r="A36" s="6" t="str">
        <f ca="1">IFERROR(__xludf.DUMMYFUNCTION("""COMPUTED_VALUE"""),"Hooke's Law")</f>
        <v>Hooke's Law</v>
      </c>
      <c r="B36" s="6" t="str">
        <f ca="1">IFERROR(__xludf.DUMMYFUNCTION("""COMPUTED_VALUE"""),"Resource")</f>
        <v>Resource</v>
      </c>
      <c r="C36" s="6" t="str">
        <f ca="1">IFERROR(__xludf.DUMMYFUNCTION("""COMPUTED_VALUE"""),"Assignment.graasp")</f>
        <v>Assignment.graasp</v>
      </c>
      <c r="D36" s="7" t="str">
        <f ca="1">IFERROR(__xludf.DUMMYFUNCTION("""COMPUTED_VALUE"""),"&lt;p&gt;ASSIGNMENT&lt;/p&gt;&lt;p&gt;State and explain various uses of elastic materials&lt;br&gt;What is the effect on (a) spring constant (b) extension when springs are connected as shown in the following diagrams?&lt;/p&gt;")</f>
        <v>&lt;p&gt;ASSIGNMENT&lt;/p&gt;&lt;p&gt;State and explain various uses of elastic materials&lt;br&gt;What is the effect on (a) spring constant (b) extension when springs are connected as shown in the following diagrams?&lt;/p&gt;</v>
      </c>
      <c r="E36" s="7" t="str">
        <f ca="1">IFERROR(__xludf.DUMMYFUNCTION("""COMPUTED_VALUE"""),"No artifact embedded")</f>
        <v>No artifact embedded</v>
      </c>
      <c r="F36" s="7"/>
      <c r="G36" s="8">
        <v>0</v>
      </c>
      <c r="H36" s="8">
        <v>0</v>
      </c>
      <c r="I36" s="8">
        <v>1</v>
      </c>
      <c r="J36" s="8">
        <v>0</v>
      </c>
      <c r="K36" s="9">
        <v>0</v>
      </c>
      <c r="L36" s="9">
        <v>1</v>
      </c>
      <c r="M36" s="9">
        <v>0</v>
      </c>
      <c r="N36" s="9">
        <v>0</v>
      </c>
      <c r="O36" s="10">
        <v>0</v>
      </c>
      <c r="P36" s="10">
        <v>0</v>
      </c>
      <c r="Q36" s="10">
        <v>0</v>
      </c>
      <c r="R36" s="10">
        <v>0</v>
      </c>
      <c r="S36" s="10">
        <v>1</v>
      </c>
    </row>
    <row r="37" spans="1:19" ht="157" customHeight="1" x14ac:dyDescent="0.2">
      <c r="A37" s="6" t="str">
        <f ca="1">IFERROR(__xludf.DUMMYFUNCTION("""COMPUTED_VALUE"""),"Hooke's Law")</f>
        <v>Hooke's Law</v>
      </c>
      <c r="B37" s="6" t="str">
        <f ca="1">IFERROR(__xludf.DUMMYFUNCTION("""COMPUTED_VALUE"""),"Resource")</f>
        <v>Resource</v>
      </c>
      <c r="C37" s="6" t="str">
        <f ca="1">IFERROR(__xludf.DUMMYFUNCTION("""COMPUTED_VALUE"""),"springs.docx")</f>
        <v>springs.docx</v>
      </c>
      <c r="D37" s="7" t="str">
        <f ca="1">IFERROR(__xludf.DUMMYFUNCTION("""COMPUTED_VALUE"""),"No task description")</f>
        <v>No task description</v>
      </c>
      <c r="E37" s="7" t="str">
        <f ca="1">IFERROR(__xludf.DUMMYFUNCTION("""COMPUTED_VALUE"""),"application/vnd.openxmlformats-officedocument.wordprocessingml.document – A Microsoft Word document (DOCX), typically containing formatted text, images, and tables.")</f>
        <v>application/vnd.openxmlformats-officedocument.wordprocessingml.document – A Microsoft Word document (DOCX), typically containing formatted text, images, and tables.</v>
      </c>
      <c r="F37" s="7"/>
      <c r="G37" s="8">
        <v>1</v>
      </c>
      <c r="H37" s="8">
        <v>0</v>
      </c>
      <c r="I37" s="8">
        <v>0</v>
      </c>
      <c r="J37" s="8">
        <v>0</v>
      </c>
      <c r="K37" s="9">
        <v>1</v>
      </c>
      <c r="L37" s="9">
        <v>0</v>
      </c>
      <c r="M37" s="9">
        <v>0</v>
      </c>
      <c r="N37" s="9">
        <v>0</v>
      </c>
      <c r="O37" s="10">
        <v>0</v>
      </c>
      <c r="P37" s="10">
        <v>0</v>
      </c>
      <c r="Q37" s="10">
        <v>0</v>
      </c>
      <c r="R37" s="10">
        <v>0</v>
      </c>
      <c r="S37" s="10">
        <v>0</v>
      </c>
    </row>
    <row r="38" spans="1:19" ht="157" customHeight="1" x14ac:dyDescent="0.2">
      <c r="A38" s="6" t="str">
        <f ca="1">IFERROR(__xludf.DUMMYFUNCTION("""COMPUTED_VALUE"""),"Hooke's Law")</f>
        <v>Hooke's Law</v>
      </c>
      <c r="B38" s="6" t="str">
        <f ca="1">IFERROR(__xludf.DUMMYFUNCTION("""COMPUTED_VALUE"""),"Application")</f>
        <v>Application</v>
      </c>
      <c r="C38" s="6" t="str">
        <f ca="1">IFERROR(__xludf.DUMMYFUNCTION("""COMPUTED_VALUE"""),"File Drop")</f>
        <v>File Drop</v>
      </c>
      <c r="D38" s="7" t="str">
        <f ca="1">IFERROR(__xludf.DUMMYFUNCTION("""COMPUTED_VALUE"""),"No task description")</f>
        <v>No task description</v>
      </c>
      <c r="E38"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38" s="7"/>
      <c r="G38" s="8">
        <v>0</v>
      </c>
      <c r="H38" s="8">
        <v>0</v>
      </c>
      <c r="I38" s="8">
        <v>1</v>
      </c>
      <c r="J38" s="8">
        <v>0</v>
      </c>
      <c r="K38" s="9">
        <v>0</v>
      </c>
      <c r="L38" s="9">
        <v>1</v>
      </c>
      <c r="M38" s="9">
        <v>0</v>
      </c>
      <c r="N38" s="9">
        <v>0</v>
      </c>
      <c r="O38" s="10">
        <v>0</v>
      </c>
      <c r="P38" s="10">
        <v>0</v>
      </c>
      <c r="Q38" s="10">
        <v>0</v>
      </c>
      <c r="R38" s="10">
        <v>0</v>
      </c>
      <c r="S38" s="10">
        <v>0</v>
      </c>
    </row>
    <row r="39" spans="1:19" ht="25" customHeight="1" x14ac:dyDescent="0.2">
      <c r="A39" s="6" t="str">
        <f ca="1">IFERROR(__xludf.DUMMYFUNCTION("""COMPUTED_VALUE"""),"How do light and temperature affect photosynthesis in plants? - Version A")</f>
        <v>How do light and temperature affect photosynthesis in plants? - Version A</v>
      </c>
      <c r="B39" s="6" t="str">
        <f ca="1">IFERROR(__xludf.DUMMYFUNCTION("""COMPUTED_VALUE"""),"Space")</f>
        <v>Space</v>
      </c>
      <c r="C39" s="6" t="str">
        <f ca="1">IFERROR(__xludf.DUMMYFUNCTION("""COMPUTED_VALUE"""),"Demo")</f>
        <v>Demo</v>
      </c>
      <c r="D39" s="7" t="str">
        <f ca="1">IFERROR(__xludf.DUMMYFUNCTION("""COMPUTED_VALUE"""),"No task description")</f>
        <v>No task description</v>
      </c>
      <c r="E39" s="7" t="str">
        <f ca="1">IFERROR(__xludf.DUMMYFUNCTION("""COMPUTED_VALUE"""),"No artifact embedded")</f>
        <v>No artifact embedded</v>
      </c>
      <c r="F39" s="7"/>
      <c r="G39" s="8">
        <v>0</v>
      </c>
      <c r="H39" s="8">
        <v>0</v>
      </c>
      <c r="I39" s="8">
        <v>0</v>
      </c>
      <c r="J39" s="8">
        <v>0</v>
      </c>
      <c r="K39" s="9">
        <v>0</v>
      </c>
      <c r="L39" s="9">
        <v>0</v>
      </c>
      <c r="M39" s="9">
        <v>0</v>
      </c>
      <c r="N39" s="9">
        <v>0</v>
      </c>
      <c r="O39" s="10">
        <v>0</v>
      </c>
      <c r="P39" s="10">
        <v>0</v>
      </c>
      <c r="Q39" s="10">
        <v>0</v>
      </c>
      <c r="R39" s="10">
        <v>0</v>
      </c>
      <c r="S39" s="10">
        <v>0</v>
      </c>
    </row>
    <row r="40" spans="1:19" ht="97" customHeight="1" x14ac:dyDescent="0.2">
      <c r="A40" s="6" t="str">
        <f ca="1">IFERROR(__xludf.DUMMYFUNCTION("""COMPUTED_VALUE"""),"How do light and temperature affect photosynthesis in plants? - Version A")</f>
        <v>How do light and temperature affect photosynthesis in plants? - Version A</v>
      </c>
      <c r="B40" s="6" t="str">
        <f ca="1">IFERROR(__xludf.DUMMYFUNCTION("""COMPUTED_VALUE"""),"Resource")</f>
        <v>Resource</v>
      </c>
      <c r="C40" s="6" t="str">
        <f ca="1">IFERROR(__xludf.DUMMYFUNCTION("""COMPUTED_VALUE"""),"pilt.png")</f>
        <v>pilt.png</v>
      </c>
      <c r="D40" s="7" t="str">
        <f ca="1">IFERROR(__xludf.DUMMYFUNCTION("""COMPUTED_VALUE"""),"No task description")</f>
        <v>No task description</v>
      </c>
      <c r="E40" s="7" t="str">
        <f ca="1">IFERROR(__xludf.DUMMYFUNCTION("""COMPUTED_VALUE"""),"image/png – A high-quality image with support for transparency, often used in design and web applications.")</f>
        <v>image/png – A high-quality image with support for transparency, often used in design and web applications.</v>
      </c>
      <c r="F40" s="7"/>
      <c r="G40" s="8">
        <v>0</v>
      </c>
      <c r="H40" s="8">
        <v>0</v>
      </c>
      <c r="I40" s="8">
        <v>0</v>
      </c>
      <c r="J40" s="8">
        <v>0</v>
      </c>
      <c r="K40" s="9">
        <v>0</v>
      </c>
      <c r="L40" s="9">
        <v>0</v>
      </c>
      <c r="M40" s="9">
        <v>0</v>
      </c>
      <c r="N40" s="9">
        <v>0</v>
      </c>
      <c r="O40" s="10">
        <v>0</v>
      </c>
      <c r="P40" s="10">
        <v>0</v>
      </c>
      <c r="Q40" s="10">
        <v>0</v>
      </c>
      <c r="R40" s="10">
        <v>0</v>
      </c>
      <c r="S40" s="10">
        <v>0</v>
      </c>
    </row>
    <row r="41" spans="1:19" ht="169" customHeight="1" x14ac:dyDescent="0.2">
      <c r="A41" s="6" t="str">
        <f ca="1">IFERROR(__xludf.DUMMYFUNCTION("""COMPUTED_VALUE"""),"How do light and temperature affect photosynthesis in plants? - Version A")</f>
        <v>How do light and temperature affect photosynthesis in plants? - Version A</v>
      </c>
      <c r="B41" s="6" t="str">
        <f ca="1">IFERROR(__xludf.DUMMYFUNCTION("""COMPUTED_VALUE"""),"Resource")</f>
        <v>Resource</v>
      </c>
      <c r="C41" s="6" t="str">
        <f ca="1">IFERROR(__xludf.DUMMYFUNCTION("""COMPUTED_VALUE"""),"Tekst5.graasp")</f>
        <v>Tekst5.graasp</v>
      </c>
      <c r="D41" s="7" t="str">
        <f ca="1">IFERROR(__xludf.DUMMYFUNCTION("""COMPUTED_VALUE"""),"&lt;p&gt;Look at the picture and think how you could select and place objects on the seesaw so that the seesaw is balanced. Use the scratchpad tool below to formulate a prediction (hypothesis).&lt;br&gt;&lt;/p&gt;")</f>
        <v>&lt;p&gt;Look at the picture and think how you could select and place objects on the seesaw so that the seesaw is balanced. Use the scratchpad tool below to formulate a prediction (hypothesis).&lt;br&gt;&lt;/p&gt;</v>
      </c>
      <c r="E41" s="7" t="str">
        <f ca="1">IFERROR(__xludf.DUMMYFUNCTION("""COMPUTED_VALUE"""),"No artifact embedded")</f>
        <v>No artifact embedded</v>
      </c>
      <c r="F41" s="7"/>
      <c r="G41" s="8">
        <v>0</v>
      </c>
      <c r="H41" s="8">
        <v>0</v>
      </c>
      <c r="I41" s="8">
        <v>1</v>
      </c>
      <c r="J41" s="8">
        <v>0</v>
      </c>
      <c r="K41" s="9">
        <v>0</v>
      </c>
      <c r="L41" s="9">
        <v>1</v>
      </c>
      <c r="M41" s="9">
        <v>0</v>
      </c>
      <c r="N41" s="9">
        <v>0</v>
      </c>
      <c r="O41" s="10">
        <v>0</v>
      </c>
      <c r="P41" s="10">
        <v>1</v>
      </c>
      <c r="Q41" s="10">
        <v>0</v>
      </c>
      <c r="R41" s="10">
        <v>0</v>
      </c>
      <c r="S41" s="10">
        <v>0</v>
      </c>
    </row>
    <row r="42" spans="1:19" ht="409.5" customHeight="1" x14ac:dyDescent="0.2">
      <c r="A42" s="6" t="str">
        <f ca="1">IFERROR(__xludf.DUMMYFUNCTION("""COMPUTED_VALUE"""),"How do light and temperature affect photosynthesis in plants? - Version A")</f>
        <v>How do light and temperature affect photosynthesis in plants? - Version A</v>
      </c>
      <c r="B42" s="6" t="str">
        <f ca="1">IFERROR(__xludf.DUMMYFUNCTION("""COMPUTED_VALUE"""),"Application")</f>
        <v>Application</v>
      </c>
      <c r="C42" s="6" t="str">
        <f ca="1">IFERROR(__xludf.DUMMYFUNCTION("""COMPUTED_VALUE"""),"Hypothesis Scratchpad")</f>
        <v>Hypothesis Scratchpad</v>
      </c>
      <c r="D42" s="7" t="str">
        <f ca="1">IFERROR(__xludf.DUMMYFUNCTION("""COMPUTED_VALUE"""),"No task description")</f>
        <v>No task description</v>
      </c>
      <c r="E42"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42" s="7"/>
      <c r="G42" s="8">
        <v>0</v>
      </c>
      <c r="H42" s="8">
        <v>0</v>
      </c>
      <c r="I42" s="8">
        <v>1</v>
      </c>
      <c r="J42" s="8">
        <v>0</v>
      </c>
      <c r="K42" s="9">
        <v>0</v>
      </c>
      <c r="L42" s="9">
        <v>1</v>
      </c>
      <c r="M42" s="9">
        <v>0</v>
      </c>
      <c r="N42" s="9">
        <v>0</v>
      </c>
      <c r="O42" s="10">
        <v>0</v>
      </c>
      <c r="P42" s="10">
        <v>1</v>
      </c>
      <c r="Q42" s="10">
        <v>0</v>
      </c>
      <c r="R42" s="10">
        <v>0</v>
      </c>
      <c r="S42" s="10">
        <v>0</v>
      </c>
    </row>
    <row r="43" spans="1:19" ht="395" customHeight="1" x14ac:dyDescent="0.2">
      <c r="A43" s="6" t="str">
        <f ca="1">IFERROR(__xludf.DUMMYFUNCTION("""COMPUTED_VALUE"""),"How do light and temperature affect photosynthesis in plants? - Version A")</f>
        <v>How do light and temperature affect photosynthesis in plants? - Version A</v>
      </c>
      <c r="B43" s="6" t="str">
        <f ca="1">IFERROR(__xludf.DUMMYFUNCTION("""COMPUTED_VALUE"""),"Resource")</f>
        <v>Resource</v>
      </c>
      <c r="C43" s="6" t="str">
        <f ca="1">IFERROR(__xludf.DUMMYFUNCTION("""COMPUTED_VALUE"""),"Text 1.graasp")</f>
        <v>Text 1.graasp</v>
      </c>
      <c r="D43" s="7" t="str">
        <f ca="1">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&lt;hr&gt;&lt;p&gt;In this task you will collaborate together with a partner to solve a problem about balancing a seesaw. The task has three parts:&lt;/p&gt;&lt;p style="margin-left: 40px;"&gt;1) a simulation of a seesaw that both you and your partner can partially control;&lt;br&gt;2) a chat application to communicate with your partner;&lt;br&gt;3) a question for you to answer.&lt;/p&gt;Once you have finished answering your question, the task is complete. Your can find the question at the bottom of this page.</v>
      </c>
      <c r="E43" s="7" t="str">
        <f ca="1">IFERROR(__xludf.DUMMYFUNCTION("""COMPUTED_VALUE"""),"No artifact embedded")</f>
        <v>No artifact embedded</v>
      </c>
      <c r="F43" s="7"/>
      <c r="G43" s="8">
        <v>0</v>
      </c>
      <c r="H43" s="8">
        <v>0</v>
      </c>
      <c r="I43" s="8">
        <v>0</v>
      </c>
      <c r="J43" s="8">
        <v>1</v>
      </c>
      <c r="K43" s="9">
        <v>0</v>
      </c>
      <c r="L43" s="9">
        <v>0</v>
      </c>
      <c r="M43" s="9">
        <v>0</v>
      </c>
      <c r="N43" s="9">
        <v>1</v>
      </c>
      <c r="O43" s="10">
        <v>0</v>
      </c>
      <c r="P43" s="10">
        <v>0</v>
      </c>
      <c r="Q43" s="10">
        <v>1</v>
      </c>
      <c r="R43" s="10">
        <v>0</v>
      </c>
      <c r="S43" s="10">
        <v>1</v>
      </c>
    </row>
    <row r="44" spans="1:19" ht="409.5" customHeight="1" x14ac:dyDescent="0.2">
      <c r="A44" s="6" t="str">
        <f ca="1">IFERROR(__xludf.DUMMYFUNCTION("""COMPUTED_VALUE"""),"How do light and temperature affect photosynthesis in plants? - Version A")</f>
        <v>How do light and temperature affect photosynthesis in plants? - Version A</v>
      </c>
      <c r="B44" s="6" t="str">
        <f ca="1">IFERROR(__xludf.DUMMYFUNCTION("""COMPUTED_VALUE"""),"Resource")</f>
        <v>Resource</v>
      </c>
      <c r="C44" s="6" t="str">
        <f ca="1">IFERROR(__xludf.DUMMYFUNCTION("""COMPUTED_VALUE"""),"instructions for the simulation and chat app.graasp")</f>
        <v>instructions for the simulation and chat app.graasp</v>
      </c>
      <c r="D44" s="7" t="str">
        <f ca="1">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&lt;p&gt;&lt;strong&gt;1. Instructions for the simulation and chat app&lt;/strong&gt;&lt;/p&gt;&lt;p&gt;A. Your teacher has assigned you a number that you will use to open the simulation.  Please enter this number in the text box labeled "Enter your chat room number" and click on the button "Join".&lt;/p&gt;&lt;p&gt;B. You and your partner share a seesaw but each of you can only interact with one side of it. Place objects on the seesaw by clicking and dragging them to the numbered positions.&lt;/p&gt;&lt;p&gt;C. You can share an object with your partner by moving it to the text box labeled "Drag-and-drop and object here to share it".&lt;/p&gt;&lt;p&gt;D. To open the chat application, enter the same number you used to open the simulation into the second text box labeled "Room number." Then click on the "Join existing room" button.&lt;/p&gt;</v>
      </c>
      <c r="E44" s="7" t="str">
        <f ca="1">IFERROR(__xludf.DUMMYFUNCTION("""COMPUTED_VALUE"""),"No artifact embedded")</f>
        <v>No artifact embedded</v>
      </c>
      <c r="F44" s="7"/>
      <c r="G44" s="8">
        <v>0</v>
      </c>
      <c r="H44" s="8">
        <v>0</v>
      </c>
      <c r="I44" s="8">
        <v>0</v>
      </c>
      <c r="J44" s="8">
        <v>1</v>
      </c>
      <c r="K44" s="9">
        <v>0</v>
      </c>
      <c r="L44" s="9">
        <v>0</v>
      </c>
      <c r="M44" s="9">
        <v>1</v>
      </c>
      <c r="N44" s="9">
        <v>0</v>
      </c>
      <c r="O44" s="10">
        <v>0</v>
      </c>
      <c r="P44" s="10">
        <v>0</v>
      </c>
      <c r="Q44" s="10">
        <v>1</v>
      </c>
      <c r="R44" s="10">
        <v>0</v>
      </c>
      <c r="S44" s="10">
        <v>1</v>
      </c>
    </row>
    <row r="45" spans="1:19" ht="409.5" customHeight="1" x14ac:dyDescent="0.2">
      <c r="A45" s="6" t="str">
        <f ca="1">IFERROR(__xludf.DUMMYFUNCTION("""COMPUTED_VALUE"""),"How do light and temperature affect photosynthesis in plants? - Version A")</f>
        <v>How do light and temperature affect photosynthesis in plants? - Version A</v>
      </c>
      <c r="B45" s="6" t="str">
        <f ca="1">IFERROR(__xludf.DUMMYFUNCTION("""COMPUTED_VALUE"""),"Application")</f>
        <v>Application</v>
      </c>
      <c r="C45" s="6" t="str">
        <f ca="1">IFERROR(__xludf.DUMMYFUNCTION("""COMPUTED_VALUE"""),"Seesaw Lab - right side")</f>
        <v>Seesaw Lab - right side</v>
      </c>
      <c r="D45" s="7" t="str">
        <f ca="1">IFERROR(__xludf.DUMMYFUNCTION("""COMPUTED_VALUE"""),"No task description")</f>
        <v>No task description</v>
      </c>
      <c r="E45" s="7" t="str">
        <f ca="1">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Golabz app/lab: `&lt;p&gt;Students working at a distance in two different ILSs share a seesaw, but can only interact with one side of the seesaw. They are able to place objects of different masses onto four different positions on their side of the seesaw. They can pass objects back and forth between each other.&lt;/p&gt;\r\n\r\n&lt;p&gt;&lt;strong&gt;Teaching Tips:&lt;/strong&gt;&lt;/p&gt;\r\n\r\n&lt;ul&gt;\r\n\t&lt;li dir="ltr"&gt;\r\n\t&lt;p dir="ltr"&gt;&lt;span&gt;&lt;span&gt;The Collaborative Seesaw Lab is primarily aimed at promoting collaborative problem-solving skills. Example tasks using this lab could include asking students to answer the following questions: &lt;/span&gt;&lt;/span&gt;&lt;/p&gt;\r\n\r\n\t&lt;ul&gt;\r\n\t\t&lt;li&gt;\r\n\t\t&lt;p dir="ltr"&gt;Can you make the seesaw balance using only 1 object? If yes, then describe exactly how you made the seesaw balance. (This question can be also asked for 2, 3, or 4 objects. Note that you can never balance the seesaw with only one object on the seesaw).&lt;/p&gt;\r\n\t\t&lt;/li&gt;\r\n\t\t&lt;li&gt;\r\n\t\t&lt;p dir="ltr"&gt;Can you guess which objects and what positions your fellow student is placing their objects?&lt;/p&gt;\r\n\t\t&lt;/li&gt;\r\n\t&lt;/ul&gt;\r\n\t&lt;/li&gt;\r\n\t&lt;li dir="ltr"&gt;\r\n\t&lt;p dir="ltr"&gt;After using the Collaborative Seesaw Lab to foster collaborative skills, it is recommended that students proceed to develop their knowledge and investigate the physics of the seesaw situation. A very good lab for this objective is the &lt;a href="http://www.golabz.eu/lab/balancing-act"&gt;Balancing Act Lab&lt;/a&gt;.&amp;nbsp;You can also add a second investigation phase to your ILS to include an additional lab.&lt;/p&gt;\r\n\t&lt;/li&gt;\r\n&lt;/ul&gt;\r\n\r\n&lt;p dir="ltr"&gt;&amp;nbsp;&lt;/p&gt;\r\n\r\n&lt;p dir="ltr"&gt;&lt;strong&gt;Instructions for use:&lt;/strong&gt;&lt;/p&gt;\r\n\r\n&lt;p dir="ltr"&gt;1.) When you click on the "Create Space" button you will create an ILS that has &lt;strong&gt;two versions&lt;/strong&gt; of the Seesaw Lab in the investigation phase. The version called "Seesaw Lab - left side" will only allow a user to interact with the left side of the seesaw. By default, all objects initially appear in this version.&amp;nbsp;The version called "Seesaw Lab - right side only"&amp;nbsp;only allows a user to interact with the right side of the seesaw.&amp;nbsp;By default, no objects appear in the right side version and students using the left side version, where all the objects are initially located, must share objects to students using the right side version of the Seesaw Lab.&lt;/p&gt;\r\n\r\n&lt;p dir="ltr"&gt;2.) Because two version of the Seesaw Lab are created you should delete one of them and rename your ILS appropriately (e.g., Seesaw Lab - left side). Then return to the Seesaw Lab page at Golabz and click the button "Create Space" again. This will create a new ILS with the two versions of the Seesaw Lab. Simply delete the version of the lab for which you already have an ILS of and rename the new ILS appropriately (e.g., Seesaw Lab - right side).&amp;nbsp;&lt;/p&gt;\r\n\r\n&lt;p dir="ltr"&gt;3.)&amp;nbsp;The Seesaw Lab is meant to be used together with a chat application, such as the &lt;a href="http://www.golabz.eu/apps/speakup"&gt;SpeakUP app&lt;/a&gt;, so that students can communicate with each other. Include the SpeakUP app preferably right before the lab. To use the SpeakUP app students are required to enter a common room number or create a room and share the number of the room with the other student(s). As a teacher you can also create multiple room numbers using the SpeakUP app and assign them to students as you like. This will allow you to access their chat transcripts later to read how they communicated with each other. The Seesaw Lab starts by asking users to enter a chat room number (which users of the SpeakUP already have). As long as two users enter the same room number they will then share the same seesaw with each of them in control over one side of the seesaw. Please instruct your students in the ILS that they will not see the lab without a chat room number.&lt;/p&gt;\r\n\r\n&lt;p dir="ltr"&gt;&amp;nbsp;&lt;/p&gt;\r\n\r\n&lt;p dir="ltr"&gt;&lt;strong&gt;Examples:&lt;/strong&gt;&lt;/p&gt;\r\n\r\n&lt;p dir="ltr"&gt;See the two links below for a pair of ILSs that apply the Seesaw Lab to promote students' collaboration skills:&lt;/p&gt;\r\n\r\n&lt;p dir="ltr"&gt;&lt;a href="http://www.golabz.eu/spaces/how-does-seesaw-work-version"&gt;How does a seesaw work? - version A&lt;/a&gt; (allows interaction with only the LEFT side of the seesaw)&lt;/p&gt;\r\n\r\n&lt;p dir="ltr"&gt;&lt;span&gt;&lt;a href="http://www.golabz.eu/spaces/how-does-seesaw-work-version-b"&gt;How does a seesaw work? - version B&lt;/a&gt; (allows interaction with only the RIGHT side of the seesaw)&lt;/span&gt;&lt;/p&gt;\r\n\r\n&lt;p dir="ltr"&gt;&amp;nbsp;&lt;/p&gt;\r\n\r\n&lt;p dir="ltr"&gt;&lt;strong&gt;&lt;span&gt;&lt;span&gt;&lt;span&gt;Credits:&lt;/span&gt;&lt;/span&gt;&lt;/span&gt;&lt;/strong&gt;&lt;/p&gt;\r\n\r\n&lt;p dir="ltr"&gt;This lab was inspired by the Balancing Act Lab developed by the PhET interactive simulations project (&lt;a href="https://phet.colorado.edu/"&gt;https://phet.colorado.edu/&lt;/a&gt;), as well as by the Balance Beam task developed by the Assessment &amp;amp; Teaching of 21st Century Skills project (&lt;a href="http://www.atc21s.org/"&gt;http://www.atc21s.org/&lt;/a&gt;).&lt;/p&gt;\r\n`</v>
      </c>
      <c r="F45" s="7"/>
      <c r="G45" s="8">
        <v>0</v>
      </c>
      <c r="H45" s="8">
        <v>0</v>
      </c>
      <c r="I45" s="8">
        <v>0</v>
      </c>
      <c r="J45" s="8">
        <v>1</v>
      </c>
      <c r="K45" s="9">
        <v>0</v>
      </c>
      <c r="L45" s="9">
        <v>0</v>
      </c>
      <c r="M45" s="9">
        <v>1</v>
      </c>
      <c r="N45" s="9">
        <v>0</v>
      </c>
      <c r="O45" s="10">
        <v>0</v>
      </c>
      <c r="P45" s="10">
        <v>0</v>
      </c>
      <c r="Q45" s="10">
        <v>1</v>
      </c>
      <c r="R45" s="10">
        <v>0</v>
      </c>
      <c r="S45" s="10">
        <v>1</v>
      </c>
    </row>
    <row r="46" spans="1:19" ht="97" customHeight="1" x14ac:dyDescent="0.2">
      <c r="A46" s="6" t="str">
        <f ca="1">IFERROR(__xludf.DUMMYFUNCTION("""COMPUTED_VALUE"""),"How do light and temperature affect photosynthesis in plants? - Version A")</f>
        <v>How do light and temperature affect photosynthesis in plants? - Version A</v>
      </c>
      <c r="B46" s="6" t="str">
        <f ca="1">IFERROR(__xludf.DUMMYFUNCTION("""COMPUTED_VALUE"""),"Resource")</f>
        <v>Resource</v>
      </c>
      <c r="C46" s="6" t="str">
        <f ca="1">IFERROR(__xludf.DUMMYFUNCTION("""COMPUTED_VALUE"""),"tips.png")</f>
        <v>tips.png</v>
      </c>
      <c r="D46" s="7" t="str">
        <f ca="1">IFERROR(__xludf.DUMMYFUNCTION("""COMPUTED_VALUE"""),"No task description")</f>
        <v>No task description</v>
      </c>
      <c r="E46" s="7" t="str">
        <f ca="1">IFERROR(__xludf.DUMMYFUNCTION("""COMPUTED_VALUE"""),"image/png – A high-quality image with support for transparency, often used in design and web applications.")</f>
        <v>image/png – A high-quality image with support for transparency, often used in design and web applications.</v>
      </c>
      <c r="F46" s="7"/>
      <c r="G46" s="8">
        <v>0</v>
      </c>
      <c r="H46" s="8">
        <v>0</v>
      </c>
      <c r="I46" s="8">
        <v>0</v>
      </c>
      <c r="J46" s="8">
        <v>0</v>
      </c>
      <c r="K46" s="9">
        <v>0</v>
      </c>
      <c r="L46" s="9">
        <v>0</v>
      </c>
      <c r="M46" s="9">
        <v>0</v>
      </c>
      <c r="N46" s="9">
        <v>0</v>
      </c>
      <c r="O46" s="10">
        <v>0</v>
      </c>
      <c r="P46" s="10">
        <v>0</v>
      </c>
      <c r="Q46" s="10">
        <v>0</v>
      </c>
      <c r="R46" s="10">
        <v>0</v>
      </c>
      <c r="S46" s="10">
        <v>0</v>
      </c>
    </row>
    <row r="47" spans="1:19" ht="409.5" customHeight="1" x14ac:dyDescent="0.2">
      <c r="A47" s="6" t="str">
        <f ca="1">IFERROR(__xludf.DUMMYFUNCTION("""COMPUTED_VALUE"""),"How do light and temperature affect photosynthesis in plants? - Version A")</f>
        <v>How do light and temperature affect photosynthesis in plants? - Version A</v>
      </c>
      <c r="B47" s="6" t="str">
        <f ca="1">IFERROR(__xludf.DUMMYFUNCTION("""COMPUTED_VALUE"""),"Application")</f>
        <v>Application</v>
      </c>
      <c r="C47" s="6" t="str">
        <f ca="1">IFERROR(__xludf.DUMMYFUNCTION("""COMPUTED_VALUE"""),"SpeakUp")</f>
        <v>SpeakUp</v>
      </c>
      <c r="D47" s="7" t="str">
        <f ca="1">IFERROR(__xludf.DUMMYFUNCTION("""COMPUTED_VALUE"""),"No task description")</f>
        <v>No task description</v>
      </c>
      <c r="E47"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47" s="7"/>
      <c r="G47" s="8">
        <v>0</v>
      </c>
      <c r="H47" s="8">
        <v>0</v>
      </c>
      <c r="I47" s="8">
        <v>0</v>
      </c>
      <c r="J47" s="8">
        <v>1</v>
      </c>
      <c r="K47" s="9">
        <v>0</v>
      </c>
      <c r="L47" s="9">
        <v>0</v>
      </c>
      <c r="M47" s="9">
        <v>1</v>
      </c>
      <c r="N47" s="9">
        <v>0</v>
      </c>
      <c r="O47" s="10">
        <v>0</v>
      </c>
      <c r="P47" s="10">
        <v>0</v>
      </c>
      <c r="Q47" s="10">
        <v>0</v>
      </c>
      <c r="R47" s="10">
        <v>0</v>
      </c>
      <c r="S47" s="10">
        <v>1</v>
      </c>
    </row>
    <row r="48" spans="1:19" ht="318" customHeight="1" x14ac:dyDescent="0.2">
      <c r="A48" s="6" t="str">
        <f ca="1">IFERROR(__xludf.DUMMYFUNCTION("""COMPUTED_VALUE"""),"How do light and temperature affect photosynthesis in plants? - Version A")</f>
        <v>How do light and temperature affect photosynthesis in plants? - Version A</v>
      </c>
      <c r="B48" s="6" t="str">
        <f ca="1">IFERROR(__xludf.DUMMYFUNCTION("""COMPUTED_VALUE"""),"Application")</f>
        <v>Application</v>
      </c>
      <c r="C48" s="6" t="str">
        <f ca="1">IFERROR(__xludf.DUMMYFUNCTION("""COMPUTED_VALUE"""),"Input Box 1")</f>
        <v>Input Box 1</v>
      </c>
      <c r="D48" s="7" t="str">
        <f ca="1">IFERROR(__xludf.DUMMYFUNCTION("""COMPUTED_VALUE"""),"&lt;p&gt;&lt;strong&gt;3. &lt;/strong&gt;&lt;strong&gt;Question&lt;/strong&gt;&lt;/p&gt;&lt;p&gt;Is it possible to balance the seesaw using a total of 3 objects on the seesaw? If so, then describe exactly how in the space below.&lt;/p&gt;")</f>
        <v>&lt;p&gt;&lt;strong&gt;3. &lt;/strong&gt;&lt;strong&gt;Question&lt;/strong&gt;&lt;/p&gt;&lt;p&gt;Is it possible to balance the seesaw using a total of 3 objects on the seesaw? If so, then describe exactly how in the space below.&lt;/p&gt;</v>
      </c>
      <c r="E4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48" s="7"/>
      <c r="G48" s="8">
        <v>0</v>
      </c>
      <c r="H48" s="8">
        <v>0</v>
      </c>
      <c r="I48" s="8">
        <v>1</v>
      </c>
      <c r="J48" s="8">
        <v>0</v>
      </c>
      <c r="K48" s="9">
        <v>0</v>
      </c>
      <c r="L48" s="9">
        <v>1</v>
      </c>
      <c r="M48" s="9">
        <v>0</v>
      </c>
      <c r="N48" s="9">
        <v>0</v>
      </c>
      <c r="O48" s="10">
        <v>0</v>
      </c>
      <c r="P48" s="10">
        <v>0</v>
      </c>
      <c r="Q48" s="10">
        <v>0</v>
      </c>
      <c r="R48" s="10">
        <v>1</v>
      </c>
      <c r="S48" s="10">
        <v>0</v>
      </c>
    </row>
    <row r="49" spans="1:19" ht="229" customHeight="1" x14ac:dyDescent="0.2">
      <c r="A49" s="6" t="str">
        <f ca="1">IFERROR(__xludf.DUMMYFUNCTION("""COMPUTED_VALUE"""),"How do light and temperature affect photosynthesis in plants? - Version A")</f>
        <v>How do light and temperature affect photosynthesis in plants? - Version A</v>
      </c>
      <c r="B49" s="6" t="str">
        <f ca="1">IFERROR(__xludf.DUMMYFUNCTION("""COMPUTED_VALUE"""),"Resource")</f>
        <v>Resource</v>
      </c>
      <c r="C49" s="6" t="str">
        <f ca="1">IFERROR(__xludf.DUMMYFUNCTION("""COMPUTED_VALUE"""),"Text 4.graasp")</f>
        <v>Text 4.graasp</v>
      </c>
      <c r="D49" s="7" t="str">
        <f ca="1">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v>
      </c>
      <c r="E49" s="7" t="str">
        <f ca="1">IFERROR(__xludf.DUMMYFUNCTION("""COMPUTED_VALUE"""),"No artifact embedded")</f>
        <v>No artifact embedded</v>
      </c>
      <c r="F49" s="7"/>
      <c r="G49" s="8">
        <v>0</v>
      </c>
      <c r="H49" s="8">
        <v>0</v>
      </c>
      <c r="I49" s="8">
        <v>0</v>
      </c>
      <c r="J49" s="8">
        <v>0</v>
      </c>
      <c r="K49" s="9">
        <v>0</v>
      </c>
      <c r="L49" s="9">
        <v>0</v>
      </c>
      <c r="M49" s="9">
        <v>0</v>
      </c>
      <c r="N49" s="9">
        <v>0</v>
      </c>
      <c r="O49" s="10">
        <v>0</v>
      </c>
      <c r="P49" s="10">
        <v>0</v>
      </c>
      <c r="Q49" s="10">
        <v>0</v>
      </c>
      <c r="R49" s="10">
        <v>0</v>
      </c>
      <c r="S49" s="10">
        <v>0</v>
      </c>
    </row>
    <row r="50" spans="1:19" ht="25" customHeight="1" x14ac:dyDescent="0.2">
      <c r="A50" s="6" t="str">
        <f ca="1">IFERROR(__xludf.DUMMYFUNCTION("""COMPUTED_VALUE"""),"How do light and temperature affect photosynthesis in plants? - Version A")</f>
        <v>How do light and temperature affect photosynthesis in plants? - Version A</v>
      </c>
      <c r="B50" s="6" t="str">
        <f ca="1">IFERROR(__xludf.DUMMYFUNCTION("""COMPUTED_VALUE"""),"Space")</f>
        <v>Space</v>
      </c>
      <c r="C50" s="6" t="str">
        <f ca="1">IFERROR(__xludf.DUMMYFUNCTION("""COMPUTED_VALUE"""),"Intro")</f>
        <v>Intro</v>
      </c>
      <c r="D50" s="7" t="str">
        <f ca="1">IFERROR(__xludf.DUMMYFUNCTION("""COMPUTED_VALUE"""),"No task description")</f>
        <v>No task description</v>
      </c>
      <c r="E50" s="7" t="str">
        <f ca="1">IFERROR(__xludf.DUMMYFUNCTION("""COMPUTED_VALUE"""),"No artifact embedded")</f>
        <v>No artifact embedded</v>
      </c>
      <c r="F50" s="7"/>
      <c r="G50" s="8">
        <v>0</v>
      </c>
      <c r="H50" s="8">
        <v>0</v>
      </c>
      <c r="I50" s="8">
        <v>0</v>
      </c>
      <c r="J50" s="8">
        <v>0</v>
      </c>
      <c r="K50" s="9">
        <v>0</v>
      </c>
      <c r="L50" s="9">
        <v>0</v>
      </c>
      <c r="M50" s="9">
        <v>0</v>
      </c>
      <c r="N50" s="9">
        <v>0</v>
      </c>
      <c r="O50" s="10">
        <v>0</v>
      </c>
      <c r="P50" s="10">
        <v>0</v>
      </c>
      <c r="Q50" s="10">
        <v>0</v>
      </c>
      <c r="R50" s="10">
        <v>0</v>
      </c>
      <c r="S50" s="10">
        <v>0</v>
      </c>
    </row>
    <row r="51" spans="1:19" ht="318" customHeight="1" x14ac:dyDescent="0.2">
      <c r="A51" s="6" t="str">
        <f ca="1">IFERROR(__xludf.DUMMYFUNCTION("""COMPUTED_VALUE"""),"How do light and temperature affect photosynthesis in plants? - Version A")</f>
        <v>How do light and temperature affect photosynthesis in plants? - Version A</v>
      </c>
      <c r="B51" s="6" t="str">
        <f ca="1">IFERROR(__xludf.DUMMYFUNCTION("""COMPUTED_VALUE"""),"Resource")</f>
        <v>Resource</v>
      </c>
      <c r="C51" s="6" t="str">
        <f ca="1">IFERROR(__xludf.DUMMYFUNCTION("""COMPUTED_VALUE"""),"Teooria.graasp")</f>
        <v>Teooria.graasp</v>
      </c>
      <c r="D51" s="7" t="str">
        <f ca="1">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&lt;p&gt;&lt;strong&gt;Introduction&lt;/strong&gt;&lt;br&gt;&lt;/p&gt;&lt;p&gt;Plants need light to survive. Plants make their own food from light energy, carbon dioxide, water, nutrients and minerals. The process by which plants use light energy to make their own food is called photosynthesis. During photosynthesis plants produce and release oxygen as a byproduct. Photosynthesis occurs in the green parts of plants.&lt;/p&gt;</v>
      </c>
      <c r="E51" s="7" t="str">
        <f ca="1">IFERROR(__xludf.DUMMYFUNCTION("""COMPUTED_VALUE"""),"No artifact embedded")</f>
        <v>No artifact embedded</v>
      </c>
      <c r="F51" s="7"/>
      <c r="G51" s="8">
        <v>1</v>
      </c>
      <c r="H51" s="8">
        <v>0</v>
      </c>
      <c r="I51" s="8">
        <v>0</v>
      </c>
      <c r="J51" s="8">
        <v>0</v>
      </c>
      <c r="K51" s="9">
        <v>1</v>
      </c>
      <c r="L51" s="9">
        <v>0</v>
      </c>
      <c r="M51" s="9">
        <v>0</v>
      </c>
      <c r="N51" s="9">
        <v>0</v>
      </c>
      <c r="O51" s="10">
        <v>1</v>
      </c>
      <c r="P51" s="10">
        <v>0</v>
      </c>
      <c r="Q51" s="10">
        <v>0</v>
      </c>
      <c r="R51" s="10">
        <v>0</v>
      </c>
      <c r="S51" s="10">
        <v>0</v>
      </c>
    </row>
    <row r="52" spans="1:19" ht="109" customHeight="1" x14ac:dyDescent="0.2">
      <c r="A52" s="6" t="str">
        <f ca="1">IFERROR(__xludf.DUMMYFUNCTION("""COMPUTED_VALUE"""),"How do light and temperature affect photosynthesis in plants? - Version A")</f>
        <v>How do light and temperature affect photosynthesis in plants? - Version A</v>
      </c>
      <c r="B52" s="6" t="str">
        <f ca="1">IFERROR(__xludf.DUMMYFUNCTION("""COMPUTED_VALUE"""),"Resource")</f>
        <v>Resource</v>
      </c>
      <c r="C52" s="6" t="str">
        <f ca="1">IFERROR(__xludf.DUMMYFUNCTION("""COMPUTED_VALUE"""),"photosynthesis.jpg")</f>
        <v>photosynthesis.jpg</v>
      </c>
      <c r="D52" s="7" t="str">
        <f ca="1">IFERROR(__xludf.DUMMYFUNCTION("""COMPUTED_VALUE"""),"CARBON DIOXIDE _—v .7 WATER &amp; MINERALS")</f>
        <v>CARBON DIOXIDE _—v .7 WATER &amp; MINERALS</v>
      </c>
      <c r="E52"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52" s="7"/>
      <c r="G52" s="8">
        <v>0</v>
      </c>
      <c r="H52" s="8">
        <v>0</v>
      </c>
      <c r="I52" s="8">
        <v>0</v>
      </c>
      <c r="J52" s="8">
        <v>0</v>
      </c>
      <c r="K52" s="9">
        <v>0</v>
      </c>
      <c r="L52" s="9">
        <v>0</v>
      </c>
      <c r="M52" s="9">
        <v>0</v>
      </c>
      <c r="N52" s="9">
        <v>0</v>
      </c>
      <c r="O52" s="10">
        <v>0</v>
      </c>
      <c r="P52" s="10">
        <v>0</v>
      </c>
      <c r="Q52" s="10">
        <v>0</v>
      </c>
      <c r="R52" s="10">
        <v>0</v>
      </c>
      <c r="S52" s="10">
        <v>0</v>
      </c>
    </row>
    <row r="53" spans="1:19" ht="409.5" customHeight="1" x14ac:dyDescent="0.2">
      <c r="A53" s="6" t="str">
        <f ca="1">IFERROR(__xludf.DUMMYFUNCTION("""COMPUTED_VALUE"""),"How do light and temperature affect photosynthesis in plants? - Version A")</f>
        <v>How do light and temperature affect photosynthesis in plants? - Version A</v>
      </c>
      <c r="B53" s="6" t="str">
        <f ca="1">IFERROR(__xludf.DUMMYFUNCTION("""COMPUTED_VALUE"""),"Resource")</f>
        <v>Resource</v>
      </c>
      <c r="C53" s="6" t="str">
        <f ca="1">IFERROR(__xludf.DUMMYFUNCTION("""COMPUTED_VALUE"""),"Veetaimedest.graasp")</f>
        <v>Veetaimedest.graasp</v>
      </c>
      <c r="D53" s="7" t="str">
        <f ca="1">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&lt;p&gt;Plants in water (aquatic plants) also need light to make their own water. Aquatic plants absorb carbon dioxide, water and minerals directly from the surrounding water. Photosynthesis in aquatic plants produces nutrients for plants and releases oxygen into the water, which, for example, fish need to breathe. Temperature is also an important factor for photosynthesis. &lt;/p&gt;&lt;hr&gt;&lt;p&gt;To check your knowledge, perform the following quiz.&lt;/p&gt;&lt;p&gt;IMPORTANT! You can answer each question only once and each question has only one correct response.&lt;/p&gt;</v>
      </c>
      <c r="E53" s="7" t="str">
        <f ca="1">IFERROR(__xludf.DUMMYFUNCTION("""COMPUTED_VALUE"""),"No artifact embedded")</f>
        <v>No artifact embedded</v>
      </c>
      <c r="F53" s="7"/>
      <c r="G53" s="8">
        <v>0</v>
      </c>
      <c r="H53" s="8">
        <v>0</v>
      </c>
      <c r="I53" s="8">
        <v>1</v>
      </c>
      <c r="J53" s="8">
        <v>0</v>
      </c>
      <c r="K53" s="9">
        <v>0</v>
      </c>
      <c r="L53" s="9">
        <v>1</v>
      </c>
      <c r="M53" s="9">
        <v>0</v>
      </c>
      <c r="N53" s="9">
        <v>0</v>
      </c>
      <c r="O53" s="10">
        <v>1</v>
      </c>
      <c r="P53" s="10">
        <v>0</v>
      </c>
      <c r="Q53" s="10">
        <v>0</v>
      </c>
      <c r="R53" s="10">
        <v>0</v>
      </c>
      <c r="S53" s="10">
        <v>0</v>
      </c>
    </row>
    <row r="54" spans="1:19" ht="274" customHeight="1" x14ac:dyDescent="0.2">
      <c r="A54" s="6" t="str">
        <f ca="1">IFERROR(__xludf.DUMMYFUNCTION("""COMPUTED_VALUE"""),"How do light and temperature affect photosynthesis in plants? - Version A")</f>
        <v>How do light and temperature affect photosynthesis in plants? - Version A</v>
      </c>
      <c r="B54" s="6" t="str">
        <f ca="1">IFERROR(__xludf.DUMMYFUNCTION("""COMPUTED_VALUE"""),"Application")</f>
        <v>Application</v>
      </c>
      <c r="C54" s="6" t="str">
        <f ca="1">IFERROR(__xludf.DUMMYFUNCTION("""COMPUTED_VALUE"""),"Quiz Tool")</f>
        <v>Quiz Tool</v>
      </c>
      <c r="D54" s="7" t="str">
        <f ca="1">IFERROR(__xludf.DUMMYFUNCTION("""COMPUTED_VALUE"""),"No task description")</f>
        <v>No task description</v>
      </c>
      <c r="E54"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54" s="7"/>
      <c r="G54" s="8">
        <v>0</v>
      </c>
      <c r="H54" s="8">
        <v>0</v>
      </c>
      <c r="I54" s="8">
        <v>0</v>
      </c>
      <c r="J54" s="8">
        <v>1</v>
      </c>
      <c r="K54" s="9">
        <v>0</v>
      </c>
      <c r="L54" s="9">
        <v>1</v>
      </c>
      <c r="M54" s="9">
        <v>0</v>
      </c>
      <c r="N54" s="9">
        <v>0</v>
      </c>
      <c r="O54" s="10">
        <v>0</v>
      </c>
      <c r="P54" s="10">
        <v>0</v>
      </c>
      <c r="Q54" s="10">
        <v>0</v>
      </c>
      <c r="R54" s="10">
        <v>0</v>
      </c>
      <c r="S54" s="10">
        <v>1</v>
      </c>
    </row>
    <row r="55" spans="1:19" ht="157" customHeight="1" x14ac:dyDescent="0.2">
      <c r="A55" s="6" t="str">
        <f ca="1">IFERROR(__xludf.DUMMYFUNCTION("""COMPUTED_VALUE"""),"How do light and temperature affect photosynthesis in plants? - Version A")</f>
        <v>How do light and temperature affect photosynthesis in plants? - Version A</v>
      </c>
      <c r="B55" s="6" t="str">
        <f ca="1">IFERROR(__xludf.DUMMYFUNCTION("""COMPUTED_VALUE"""),"Resource")</f>
        <v>Resource</v>
      </c>
      <c r="C55" s="6" t="str">
        <f ca="1">IFERROR(__xludf.DUMMYFUNCTION("""COMPUTED_VALUE"""),"Edasi juhatus.graasp")</f>
        <v>Edasi juhatus.graasp</v>
      </c>
      <c r="D55" s="7" t="str">
        <f ca="1">IFERROR(__xludf.DUMMYFUNCTION("""COMPUTED_VALUE"""),"&lt;p&gt;Next you will explore how light and season of year affect photosynthesis in aquarium plants. Click on the tab &lt;strong&gt;Explore&lt;/strong&gt; at the top of your screen.&lt;/p&gt;&lt;p&gt;&lt;br&gt;&lt;/p&gt;&lt;p&gt;&lt;br&gt;&lt;/p&gt;")</f>
        <v>&lt;p&gt;Next you will explore how light and season of year affect photosynthesis in aquarium plants. Click on the tab &lt;strong&gt;Explore&lt;/strong&gt; at the top of your screen.&lt;/p&gt;&lt;p&gt;&lt;br&gt;&lt;/p&gt;&lt;p&gt;&lt;br&gt;&lt;/p&gt;</v>
      </c>
      <c r="E55" s="7" t="str">
        <f ca="1">IFERROR(__xludf.DUMMYFUNCTION("""COMPUTED_VALUE"""),"No artifact embedded")</f>
        <v>No artifact embedded</v>
      </c>
      <c r="F55" s="7"/>
      <c r="G55" s="8">
        <v>0</v>
      </c>
      <c r="H55" s="8">
        <v>1</v>
      </c>
      <c r="I55" s="8">
        <v>0</v>
      </c>
      <c r="J55" s="8">
        <v>0</v>
      </c>
      <c r="K55" s="9">
        <v>1</v>
      </c>
      <c r="L55" s="9">
        <v>0</v>
      </c>
      <c r="M55" s="9">
        <v>0</v>
      </c>
      <c r="N55" s="9">
        <v>0</v>
      </c>
      <c r="O55" s="10">
        <v>0</v>
      </c>
      <c r="P55" s="10">
        <v>0</v>
      </c>
      <c r="Q55" s="10">
        <v>1</v>
      </c>
      <c r="R55" s="10">
        <v>0</v>
      </c>
      <c r="S55" s="10">
        <v>0</v>
      </c>
    </row>
    <row r="56" spans="1:19" ht="25" customHeight="1" x14ac:dyDescent="0.2">
      <c r="A56" s="6" t="str">
        <f ca="1">IFERROR(__xludf.DUMMYFUNCTION("""COMPUTED_VALUE"""),"How do light and temperature affect photosynthesis in plants? - Version A")</f>
        <v>How do light and temperature affect photosynthesis in plants? - Version A</v>
      </c>
      <c r="B56" s="6" t="str">
        <f ca="1">IFERROR(__xludf.DUMMYFUNCTION("""COMPUTED_VALUE"""),"Space")</f>
        <v>Space</v>
      </c>
      <c r="C56" s="6" t="str">
        <f ca="1">IFERROR(__xludf.DUMMYFUNCTION("""COMPUTED_VALUE"""),"Explore")</f>
        <v>Explore</v>
      </c>
      <c r="D56" s="7" t="str">
        <f ca="1">IFERROR(__xludf.DUMMYFUNCTION("""COMPUTED_VALUE"""),"No task description")</f>
        <v>No task description</v>
      </c>
      <c r="E56" s="7" t="str">
        <f ca="1">IFERROR(__xludf.DUMMYFUNCTION("""COMPUTED_VALUE"""),"No artifact embedded")</f>
        <v>No artifact embedded</v>
      </c>
      <c r="F56" s="7"/>
      <c r="G56" s="8">
        <v>0</v>
      </c>
      <c r="H56" s="8">
        <v>0</v>
      </c>
      <c r="I56" s="8">
        <v>0</v>
      </c>
      <c r="J56" s="8">
        <v>0</v>
      </c>
      <c r="K56" s="9">
        <v>0</v>
      </c>
      <c r="L56" s="9">
        <v>0</v>
      </c>
      <c r="M56" s="9">
        <v>0</v>
      </c>
      <c r="N56" s="9">
        <v>0</v>
      </c>
      <c r="O56" s="10">
        <v>0</v>
      </c>
      <c r="P56" s="10">
        <v>0</v>
      </c>
      <c r="Q56" s="10">
        <v>0</v>
      </c>
      <c r="R56" s="10">
        <v>0</v>
      </c>
      <c r="S56" s="10">
        <v>0</v>
      </c>
    </row>
    <row r="57" spans="1:19" ht="85" customHeight="1" x14ac:dyDescent="0.2">
      <c r="A57" s="6" t="str">
        <f ca="1">IFERROR(__xludf.DUMMYFUNCTION("""COMPUTED_VALUE"""),"How do light and temperature affect photosynthesis in plants? - Version A")</f>
        <v>How do light and temperature affect photosynthesis in plants? - Version A</v>
      </c>
      <c r="B57" s="6" t="str">
        <f ca="1">IFERROR(__xludf.DUMMYFUNCTION("""COMPUTED_VALUE"""),"Resource")</f>
        <v>Resource</v>
      </c>
      <c r="C57" s="6" t="str">
        <f ca="1">IFERROR(__xludf.DUMMYFUNCTION("""COMPUTED_VALUE"""),"elodea.gif")</f>
        <v>elodea.gif</v>
      </c>
      <c r="D57" s="7" t="str">
        <f ca="1">IFERROR(__xludf.DUMMYFUNCTION("""COMPUTED_VALUE"""),"No task description")</f>
        <v>No task description</v>
      </c>
      <c r="E57" s="7" t="str">
        <f ca="1">IFERROR(__xludf.DUMMYFUNCTION("""COMPUTED_VALUE"""),"image/gif – An animated or static graphic using the GIF format, often seen in memes and web animations.")</f>
        <v>image/gif – An animated or static graphic using the GIF format, often seen in memes and web animations.</v>
      </c>
      <c r="F57" s="7"/>
      <c r="G57" s="8">
        <v>0</v>
      </c>
      <c r="H57" s="8">
        <v>0</v>
      </c>
      <c r="I57" s="8">
        <v>0</v>
      </c>
      <c r="J57" s="8">
        <v>0</v>
      </c>
      <c r="K57" s="9">
        <v>0</v>
      </c>
      <c r="L57" s="9">
        <v>0</v>
      </c>
      <c r="M57" s="9">
        <v>0</v>
      </c>
      <c r="N57" s="9">
        <v>0</v>
      </c>
      <c r="O57" s="10">
        <v>0</v>
      </c>
      <c r="P57" s="10">
        <v>0</v>
      </c>
      <c r="Q57" s="10">
        <v>0</v>
      </c>
      <c r="R57" s="10">
        <v>0</v>
      </c>
      <c r="S57" s="10">
        <v>0</v>
      </c>
    </row>
    <row r="58" spans="1:19" ht="49" customHeight="1" x14ac:dyDescent="0.2">
      <c r="A58" s="6" t="str">
        <f ca="1">IFERROR(__xludf.DUMMYFUNCTION("""COMPUTED_VALUE"""),"How do light and temperature affect photosynthesis in plants? - Version A")</f>
        <v>How do light and temperature affect photosynthesis in plants? - Version A</v>
      </c>
      <c r="B58" s="6" t="str">
        <f ca="1">IFERROR(__xludf.DUMMYFUNCTION("""COMPUTED_VALUE"""),"Resource")</f>
        <v>Resource</v>
      </c>
      <c r="C58" s="6" t="str">
        <f ca="1">IFERROR(__xludf.DUMMYFUNCTION("""COMPUTED_VALUE"""),"tekst4.graasp")</f>
        <v>tekst4.graasp</v>
      </c>
      <c r="D58" s="7" t="str">
        <f ca="1">IFERROR(__xludf.DUMMYFUNCTION("""COMPUTED_VALUE"""),"&lt;p&gt;Look at the video clip and answer these questions.&lt;/p&gt;")</f>
        <v>&lt;p&gt;Look at the video clip and answer these questions.&lt;/p&gt;</v>
      </c>
      <c r="E58" s="7" t="str">
        <f ca="1">IFERROR(__xludf.DUMMYFUNCTION("""COMPUTED_VALUE"""),"No artifact embedded")</f>
        <v>No artifact embedded</v>
      </c>
      <c r="F58" s="7"/>
      <c r="G58" s="8">
        <v>0</v>
      </c>
      <c r="H58" s="8">
        <v>0</v>
      </c>
      <c r="I58" s="8">
        <v>1</v>
      </c>
      <c r="J58" s="8">
        <v>0</v>
      </c>
      <c r="K58" s="9">
        <v>0</v>
      </c>
      <c r="L58" s="9">
        <v>1</v>
      </c>
      <c r="M58" s="9">
        <v>0</v>
      </c>
      <c r="N58" s="9">
        <v>0</v>
      </c>
      <c r="O58" s="10">
        <v>1</v>
      </c>
      <c r="P58" s="10">
        <v>0</v>
      </c>
      <c r="Q58" s="10">
        <v>0</v>
      </c>
      <c r="R58" s="10">
        <v>0</v>
      </c>
      <c r="S58" s="10">
        <v>0</v>
      </c>
    </row>
    <row r="59" spans="1:19" ht="274" customHeight="1" x14ac:dyDescent="0.2">
      <c r="A59" s="6" t="str">
        <f ca="1">IFERROR(__xludf.DUMMYFUNCTION("""COMPUTED_VALUE"""),"How do light and temperature affect photosynthesis in plants? - Version A")</f>
        <v>How do light and temperature affect photosynthesis in plants? - Version A</v>
      </c>
      <c r="B59" s="6" t="str">
        <f ca="1">IFERROR(__xludf.DUMMYFUNCTION("""COMPUTED_VALUE"""),"Application")</f>
        <v>Application</v>
      </c>
      <c r="C59" s="6" t="str">
        <f ca="1">IFERROR(__xludf.DUMMYFUNCTION("""COMPUTED_VALUE"""),"Quiz Tool")</f>
        <v>Quiz Tool</v>
      </c>
      <c r="D59" s="7" t="str">
        <f ca="1">IFERROR(__xludf.DUMMYFUNCTION("""COMPUTED_VALUE"""),"No task description")</f>
        <v>No task description</v>
      </c>
      <c r="E59"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59" s="7"/>
      <c r="G59" s="8">
        <v>0</v>
      </c>
      <c r="H59" s="8">
        <v>0</v>
      </c>
      <c r="I59" s="8">
        <v>0</v>
      </c>
      <c r="J59" s="8">
        <v>1</v>
      </c>
      <c r="K59" s="9">
        <v>0</v>
      </c>
      <c r="L59" s="9">
        <v>1</v>
      </c>
      <c r="M59" s="9">
        <v>0</v>
      </c>
      <c r="N59" s="9">
        <v>0</v>
      </c>
      <c r="O59" s="10">
        <v>0</v>
      </c>
      <c r="P59" s="10">
        <v>0</v>
      </c>
      <c r="Q59" s="10">
        <v>0</v>
      </c>
      <c r="R59" s="10">
        <v>0</v>
      </c>
      <c r="S59" s="10">
        <v>1</v>
      </c>
    </row>
    <row r="60" spans="1:19" ht="409.5" customHeight="1" x14ac:dyDescent="0.2">
      <c r="A60" s="6" t="str">
        <f ca="1">IFERROR(__xludf.DUMMYFUNCTION("""COMPUTED_VALUE"""),"How do light and temperature affect photosynthesis in plants? - Version A")</f>
        <v>How do light and temperature affect photosynthesis in plants? - Version A</v>
      </c>
      <c r="B60" s="6" t="str">
        <f ca="1">IFERROR(__xludf.DUMMYFUNCTION("""COMPUTED_VALUE"""),"Resource")</f>
        <v>Resource</v>
      </c>
      <c r="C60" s="6" t="str">
        <f ca="1">IFERROR(__xludf.DUMMYFUNCTION("""COMPUTED_VALUE"""),"Text 1.graasp")</f>
        <v>Text 1.graasp</v>
      </c>
      <c r="D60" s="7" t="str">
        <f ca="1">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&lt;hr&gt;&lt;p&gt;In this task you will collaborate together with a partner to solve a problem. The task has three parts:&lt;/p&gt;&lt;p style="margin-left: 40px;"&gt;1) a simulation that both you and your partner can partially control;&lt;br&gt;2) a chat application to communicate with your partner;&lt;br&gt;3) two questions for you to answer:&lt;/p&gt;&lt;ul&gt;&lt;ul&gt;&lt;li&gt;How does photosynthesis in aquarium plants depend on &lt;strong&gt;light intensity&lt;/strong&gt;?&lt;/li&gt;&lt;li&gt;How does photosynthesis in aquarium plants depend on the &lt;strong&gt;season of the year&lt;/strong&gt;?&lt;/li&gt;&lt;/ul&gt;&lt;/ul&gt;Once you have answer the two questions, this task is complete.</v>
      </c>
      <c r="E60" s="7" t="str">
        <f ca="1">IFERROR(__xludf.DUMMYFUNCTION("""COMPUTED_VALUE"""),"No artifact embedded")</f>
        <v>No artifact embedded</v>
      </c>
      <c r="F60" s="7"/>
      <c r="G60" s="8">
        <v>0</v>
      </c>
      <c r="H60" s="8">
        <v>0</v>
      </c>
      <c r="I60" s="8">
        <v>0</v>
      </c>
      <c r="J60" s="8">
        <v>1</v>
      </c>
      <c r="K60" s="9">
        <v>0</v>
      </c>
      <c r="L60" s="9">
        <v>0</v>
      </c>
      <c r="M60" s="9">
        <v>0</v>
      </c>
      <c r="N60" s="9">
        <v>1</v>
      </c>
      <c r="O60" s="10">
        <v>0</v>
      </c>
      <c r="P60" s="10">
        <v>0</v>
      </c>
      <c r="Q60" s="10">
        <v>1</v>
      </c>
      <c r="R60" s="10">
        <v>0</v>
      </c>
      <c r="S60" s="10">
        <v>1</v>
      </c>
    </row>
    <row r="61" spans="1:19" ht="362" customHeight="1" x14ac:dyDescent="0.2">
      <c r="A61" s="6" t="str">
        <f ca="1">IFERROR(__xludf.DUMMYFUNCTION("""COMPUTED_VALUE"""),"How do light and temperature affect photosynthesis in plants? - Version A")</f>
        <v>How do light and temperature affect photosynthesis in plants? - Version A</v>
      </c>
      <c r="B61" s="6" t="str">
        <f ca="1">IFERROR(__xludf.DUMMYFUNCTION("""COMPUTED_VALUE"""),"Resource")</f>
        <v>Resource</v>
      </c>
      <c r="C61" s="6" t="str">
        <f ca="1">IFERROR(__xludf.DUMMYFUNCTION("""COMPUTED_VALUE"""),"instructions for the simulation and chat app.graasp")</f>
        <v>instructions for the simulation and chat app.graasp</v>
      </c>
      <c r="D61" s="7" t="str">
        <f ca="1">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&lt;p&gt;&lt;strong&gt;1. Instructions for the simulation and chat app&lt;/strong&gt;&lt;/p&gt;&lt;p&gt;A. Your teacher has assigned you a number that you will use to open the simulation. Please enter this number in the text box labeled "Enter your chat room number" and click on the button "Join". &lt;/p&gt;&lt;p&gt;B. To open the chat application, enter the same number you used to open the simulation into the second text box labeled "Room number." Then click on the "Join existing room" button.&lt;/p&gt;</v>
      </c>
      <c r="E61" s="7" t="str">
        <f ca="1">IFERROR(__xludf.DUMMYFUNCTION("""COMPUTED_VALUE"""),"No artifact embedded")</f>
        <v>No artifact embedded</v>
      </c>
      <c r="F61" s="7"/>
      <c r="G61" s="8">
        <v>0</v>
      </c>
      <c r="H61" s="8">
        <v>1</v>
      </c>
      <c r="I61" s="8">
        <v>0</v>
      </c>
      <c r="J61" s="8">
        <v>0</v>
      </c>
      <c r="K61" s="9">
        <v>1</v>
      </c>
      <c r="L61" s="9">
        <v>0</v>
      </c>
      <c r="M61" s="9">
        <v>0</v>
      </c>
      <c r="N61" s="9">
        <v>0</v>
      </c>
      <c r="O61" s="10">
        <v>1</v>
      </c>
      <c r="P61" s="10">
        <v>0</v>
      </c>
      <c r="Q61" s="10">
        <v>0</v>
      </c>
      <c r="R61" s="10">
        <v>0</v>
      </c>
      <c r="S61" s="10">
        <v>0</v>
      </c>
    </row>
    <row r="62" spans="1:19" ht="409.5" customHeight="1" x14ac:dyDescent="0.2">
      <c r="A62" s="6" t="str">
        <f ca="1">IFERROR(__xludf.DUMMYFUNCTION("""COMPUTED_VALUE"""),"How do light and temperature affect photosynthesis in plants? - Version A")</f>
        <v>How do light and temperature affect photosynthesis in plants? - Version A</v>
      </c>
      <c r="B62" s="6" t="str">
        <f ca="1">IFERROR(__xludf.DUMMYFUNCTION("""COMPUTED_VALUE"""),"Application")</f>
        <v>Application</v>
      </c>
      <c r="C62" s="6" t="str">
        <f ca="1">IFERROR(__xludf.DUMMYFUNCTION("""COMPUTED_VALUE"""),"Rate of Photosynthesis Lab - only season control")</f>
        <v>Rate of Photosynthesis Lab - only season control</v>
      </c>
      <c r="D62" s="7" t="str">
        <f ca="1">IFERROR(__xludf.DUMMYFUNCTION("""COMPUTED_VALUE"""),"No task description")</f>
        <v>No task description</v>
      </c>
      <c r="E62" s="7" t="str">
        <f ca="1">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Golabz app/lab: `&lt;p&gt;Students working at a distance in two different ILSs share a simulation similar to the &lt;a href="https://www.golabz.eu/lab/rate-of-photosynthesis-lab-html5"&gt;Rate of Photosynthesis Lab&lt;/a&gt;, but are able to&amp;nbsp;control only one of two variables (lamp intensity or the season of the year). Changes made in one version of the simulation are simultaneously shown in the other version. The season of the year variable is a distractor option. It does not influence the rate of photosynthesis because the aquarium plant is indoors&amp;nbsp;and its water temperature does not change.&lt;/p&gt;\r\n\r\n&lt;p&gt;&lt;strong&gt;Teaching Tips: &lt;/strong&gt;&lt;/p&gt;\r\n\r\n&lt;p&gt;This lab is primarily aimed at promoting collaborative problem solving skills. It is suggested that the ILS for students using the version with lamp intensity controls ask students to answer the question ‘How does the rate of photosynthesize depend on the season of the year?’ Similarly, the ILS for students using the version of the simulation with season of the year controls should ask students to answer the question 'How does the rate of photosynthesize depend on lamp intensity?'&amp;nbsp;In this way both groups of students can only succeed if they synchronize their actions and collaborate to answer their respective questions. For collaboration via text-based messaging&amp;nbsp;it is suggested to use the SpeakUp app in the ILSs.&lt;/p&gt;\r\n\r\n&lt;p&gt;&lt;strong&gt;Instructions for use: &lt;/strong&gt;&lt;/p&gt;\r\n\r\n&lt;p&gt;1.) When you click on the "Create&amp;nbsp;Space" button you will create an ILS that has two versions of the Collaborative Rate of Photosynthesis Lab&amp;nbsp;in the investigation phase. The version labeled ‘Rate of Photosynthesis Lab -&amp;nbsp;only light intensity control’ will&amp;nbsp;allow a user to adjust only the light intensity in the simulation. The version labeled ‘Rate of Photosynthesis Lab -&amp;nbsp;only season control’&amp;nbsp;allows a user to adjust only the season of the year.&lt;/p&gt;\r\n\r\n&lt;p&gt;2.) Because two versions of the lab are created you should delete one of them and rename your ILS appropriately (e.g., Rate of Photosynthesis Lab - Version A). Then return to the Collaborative Rate of Photosynthesis Lab page at Golabz and click again the button "Create Space". This will create a new ILS with the two versions of the simulation. Simply delete the version of the lab for which you already have an ILS of and rename the new ILS appropriately (e.g., Rate of Photosynthesis Lab - Version B).&lt;/p&gt;\r\n\r\n&lt;p&gt;3.) The Collaborative Rate of Photosynthesis Lab&amp;nbsp;is meant to be used together with a chat tool, such as the &lt;a href="https://www.golabz.eu/app/speakup"&gt;SpeakUP app&lt;/a&gt;, so that students can communicate with each other. Include the SpeakUP app preferably before the lab. To use the SpeakUP app, students are required to enter a common room number or create a room and share the number of the room with the other student(s). As a teacher you can also create multiple room numbers using the SpeakUP app and assign them to students as you like. This will allow you to access their chat transcripts later to read how they communicated with each other. The Collaborative Rate of Photosynthesis Lab&amp;nbsp;starts by asking users to enter a chat room number (which users of the SpeakUP already have). As long as two users enter the same room number they will then share the same simulation. Please instruct your students in the ILS that they will not see the lab without a chat room number.&lt;/p&gt;\r\n`</v>
      </c>
      <c r="F62" s="7"/>
      <c r="G62" s="8">
        <v>0</v>
      </c>
      <c r="H62" s="8">
        <v>0</v>
      </c>
      <c r="I62" s="8">
        <v>0</v>
      </c>
      <c r="J62" s="8">
        <v>1</v>
      </c>
      <c r="K62" s="9">
        <v>0</v>
      </c>
      <c r="L62" s="9">
        <v>0</v>
      </c>
      <c r="M62" s="9">
        <v>1</v>
      </c>
      <c r="N62" s="9">
        <v>0</v>
      </c>
      <c r="O62" s="10">
        <v>0</v>
      </c>
      <c r="P62" s="10">
        <v>0</v>
      </c>
      <c r="Q62" s="10">
        <v>1</v>
      </c>
      <c r="R62" s="10">
        <v>0</v>
      </c>
      <c r="S62" s="10">
        <v>1</v>
      </c>
    </row>
    <row r="63" spans="1:19" ht="97" customHeight="1" x14ac:dyDescent="0.2">
      <c r="A63" s="6" t="str">
        <f ca="1">IFERROR(__xludf.DUMMYFUNCTION("""COMPUTED_VALUE"""),"How do light and temperature affect photosynthesis in plants? - Version A")</f>
        <v>How do light and temperature affect photosynthesis in plants? - Version A</v>
      </c>
      <c r="B63" s="6" t="str">
        <f ca="1">IFERROR(__xludf.DUMMYFUNCTION("""COMPUTED_VALUE"""),"Resource")</f>
        <v>Resource</v>
      </c>
      <c r="C63" s="6" t="str">
        <f ca="1">IFERROR(__xludf.DUMMYFUNCTION("""COMPUTED_VALUE"""),"tips.png")</f>
        <v>tips.png</v>
      </c>
      <c r="D63" s="7" t="str">
        <f ca="1">IFERROR(__xludf.DUMMYFUNCTION("""COMPUTED_VALUE"""),"No task description")</f>
        <v>No task description</v>
      </c>
      <c r="E63" s="7" t="str">
        <f ca="1">IFERROR(__xludf.DUMMYFUNCTION("""COMPUTED_VALUE"""),"image/png – A high-quality image with support for transparency, often used in design and web applications.")</f>
        <v>image/png – A high-quality image with support for transparency, often used in design and web applications.</v>
      </c>
      <c r="F63" s="7"/>
      <c r="G63" s="8">
        <v>0</v>
      </c>
      <c r="H63" s="8">
        <v>0</v>
      </c>
      <c r="I63" s="8">
        <v>0</v>
      </c>
      <c r="J63" s="8">
        <v>0</v>
      </c>
      <c r="K63" s="9">
        <v>0</v>
      </c>
      <c r="L63" s="9">
        <v>0</v>
      </c>
      <c r="M63" s="9">
        <v>0</v>
      </c>
      <c r="N63" s="9">
        <v>0</v>
      </c>
      <c r="O63" s="10">
        <v>0</v>
      </c>
      <c r="P63" s="10">
        <v>0</v>
      </c>
      <c r="Q63" s="10">
        <v>0</v>
      </c>
      <c r="R63" s="10">
        <v>0</v>
      </c>
      <c r="S63" s="10">
        <v>0</v>
      </c>
    </row>
    <row r="64" spans="1:19" ht="409.5" customHeight="1" x14ac:dyDescent="0.2">
      <c r="A64" s="6" t="str">
        <f ca="1">IFERROR(__xludf.DUMMYFUNCTION("""COMPUTED_VALUE"""),"How do light and temperature affect photosynthesis in plants? - Version A")</f>
        <v>How do light and temperature affect photosynthesis in plants? - Version A</v>
      </c>
      <c r="B64" s="6" t="str">
        <f ca="1">IFERROR(__xludf.DUMMYFUNCTION("""COMPUTED_VALUE"""),"Application")</f>
        <v>Application</v>
      </c>
      <c r="C64" s="6" t="str">
        <f ca="1">IFERROR(__xludf.DUMMYFUNCTION("""COMPUTED_VALUE"""),"SpeakUp")</f>
        <v>SpeakUp</v>
      </c>
      <c r="D64" s="7" t="str">
        <f ca="1">IFERROR(__xludf.DUMMYFUNCTION("""COMPUTED_VALUE"""),"No task description")</f>
        <v>No task description</v>
      </c>
      <c r="E64"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64" s="7"/>
      <c r="G64" s="8">
        <v>0</v>
      </c>
      <c r="H64" s="8">
        <v>0</v>
      </c>
      <c r="I64" s="8">
        <v>0</v>
      </c>
      <c r="J64" s="8">
        <v>1</v>
      </c>
      <c r="K64" s="9">
        <v>0</v>
      </c>
      <c r="L64" s="9">
        <v>0</v>
      </c>
      <c r="M64" s="9">
        <v>1</v>
      </c>
      <c r="N64" s="9">
        <v>0</v>
      </c>
      <c r="O64" s="10">
        <v>0</v>
      </c>
      <c r="P64" s="10">
        <v>0</v>
      </c>
      <c r="Q64" s="10">
        <v>0</v>
      </c>
      <c r="R64" s="10">
        <v>0</v>
      </c>
      <c r="S64" s="10">
        <v>1</v>
      </c>
    </row>
    <row r="65" spans="1:19" ht="37" customHeight="1" x14ac:dyDescent="0.2">
      <c r="A65" s="6" t="str">
        <f ca="1">IFERROR(__xludf.DUMMYFUNCTION("""COMPUTED_VALUE"""),"How do light and temperature affect photosynthesis in plants? - Version A")</f>
        <v>How do light and temperature affect photosynthesis in plants? - Version A</v>
      </c>
      <c r="B65" s="6" t="str">
        <f ca="1">IFERROR(__xludf.DUMMYFUNCTION("""COMPUTED_VALUE"""),"Resource")</f>
        <v>Resource</v>
      </c>
      <c r="C65" s="6" t="str">
        <f ca="1">IFERROR(__xludf.DUMMYFUNCTION("""COMPUTED_VALUE"""),"tekst2.graasp")</f>
        <v>tekst2.graasp</v>
      </c>
      <c r="D65" s="7" t="str">
        <f ca="1">IFERROR(__xludf.DUMMYFUNCTION("""COMPUTED_VALUE"""),"&lt;p&gt;&lt;strong&gt;QUESTIONS&lt;/strong&gt;&lt;/p&gt;")</f>
        <v>&lt;p&gt;&lt;strong&gt;QUESTIONS&lt;/strong&gt;&lt;/p&gt;</v>
      </c>
      <c r="E65" s="7" t="str">
        <f ca="1">IFERROR(__xludf.DUMMYFUNCTION("""COMPUTED_VALUE"""),"No artifact embedded")</f>
        <v>No artifact embedded</v>
      </c>
      <c r="F65" s="7"/>
      <c r="G65" s="8">
        <v>0</v>
      </c>
      <c r="H65" s="8">
        <v>0</v>
      </c>
      <c r="I65" s="8">
        <v>0</v>
      </c>
      <c r="J65" s="8">
        <v>0</v>
      </c>
      <c r="K65" s="9">
        <v>0</v>
      </c>
      <c r="L65" s="9">
        <v>0</v>
      </c>
      <c r="M65" s="9">
        <v>0</v>
      </c>
      <c r="N65" s="9">
        <v>0</v>
      </c>
      <c r="O65" s="10">
        <v>0</v>
      </c>
      <c r="P65" s="10">
        <v>0</v>
      </c>
      <c r="Q65" s="10">
        <v>0</v>
      </c>
      <c r="R65" s="10">
        <v>0</v>
      </c>
      <c r="S65" s="10">
        <v>0</v>
      </c>
    </row>
    <row r="66" spans="1:19" ht="318" customHeight="1" x14ac:dyDescent="0.2">
      <c r="A66" s="6" t="str">
        <f ca="1">IFERROR(__xludf.DUMMYFUNCTION("""COMPUTED_VALUE"""),"How do light and temperature affect photosynthesis in plants? - Version A")</f>
        <v>How do light and temperature affect photosynthesis in plants? - Version A</v>
      </c>
      <c r="B66" s="6" t="str">
        <f ca="1">IFERROR(__xludf.DUMMYFUNCTION("""COMPUTED_VALUE"""),"Application")</f>
        <v>Application</v>
      </c>
      <c r="C66" s="6" t="str">
        <f ca="1">IFERROR(__xludf.DUMMYFUNCTION("""COMPUTED_VALUE"""),"Input Box")</f>
        <v>Input Box</v>
      </c>
      <c r="D66" s="7" t="str">
        <f ca="1">IFERROR(__xludf.DUMMYFUNCTION("""COMPUTED_VALUE"""),"&lt;p&gt;1. How does photosynthesis in aquarium plants depend on light intensity?&lt;/p&gt;")</f>
        <v>&lt;p&gt;1. How does photosynthesis in aquarium plants depend on light intensity?&lt;/p&gt;</v>
      </c>
      <c r="E6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6" s="7"/>
      <c r="G66" s="8">
        <v>0</v>
      </c>
      <c r="H66" s="8">
        <v>0</v>
      </c>
      <c r="I66" s="8">
        <v>1</v>
      </c>
      <c r="J66" s="8">
        <v>0</v>
      </c>
      <c r="K66" s="9">
        <v>0</v>
      </c>
      <c r="L66" s="9">
        <v>1</v>
      </c>
      <c r="M66" s="9">
        <v>0</v>
      </c>
      <c r="N66" s="9">
        <v>0</v>
      </c>
      <c r="O66" s="10">
        <v>0</v>
      </c>
      <c r="P66" s="10">
        <v>0</v>
      </c>
      <c r="Q66" s="10">
        <v>0</v>
      </c>
      <c r="R66" s="10">
        <v>1</v>
      </c>
      <c r="S66" s="10">
        <v>0</v>
      </c>
    </row>
    <row r="67" spans="1:19" ht="318" customHeight="1" x14ac:dyDescent="0.2">
      <c r="A67" s="6" t="str">
        <f ca="1">IFERROR(__xludf.DUMMYFUNCTION("""COMPUTED_VALUE"""),"How do light and temperature affect photosynthesis in plants? - Version A")</f>
        <v>How do light and temperature affect photosynthesis in plants? - Version A</v>
      </c>
      <c r="B67" s="6" t="str">
        <f ca="1">IFERROR(__xludf.DUMMYFUNCTION("""COMPUTED_VALUE"""),"Application")</f>
        <v>Application</v>
      </c>
      <c r="C67" s="6" t="str">
        <f ca="1">IFERROR(__xludf.DUMMYFUNCTION("""COMPUTED_VALUE"""),"Input Box (1)")</f>
        <v>Input Box (1)</v>
      </c>
      <c r="D67" s="7" t="str">
        <f ca="1">IFERROR(__xludf.DUMMYFUNCTION("""COMPUTED_VALUE"""),"&lt;p&gt;2. How does photosynthesis in aquarium plants depend on the season of the year?&lt;/p&gt;")</f>
        <v>&lt;p&gt;2. How does photosynthesis in aquarium plants depend on the season of the year?&lt;/p&gt;</v>
      </c>
      <c r="E6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7" s="7"/>
      <c r="G67" s="8">
        <v>0</v>
      </c>
      <c r="H67" s="8">
        <v>0</v>
      </c>
      <c r="I67" s="8">
        <v>1</v>
      </c>
      <c r="J67" s="8">
        <v>0</v>
      </c>
      <c r="K67" s="9">
        <v>0</v>
      </c>
      <c r="L67" s="9">
        <v>1</v>
      </c>
      <c r="M67" s="9">
        <v>0</v>
      </c>
      <c r="N67" s="9">
        <v>0</v>
      </c>
      <c r="O67" s="10">
        <v>0</v>
      </c>
      <c r="P67" s="10">
        <v>0</v>
      </c>
      <c r="Q67" s="10">
        <v>0</v>
      </c>
      <c r="R67" s="10">
        <v>1</v>
      </c>
      <c r="S67" s="10">
        <v>0</v>
      </c>
    </row>
    <row r="68" spans="1:19" ht="252" customHeight="1" x14ac:dyDescent="0.2">
      <c r="A68" s="6" t="str">
        <f ca="1">IFERROR(__xludf.DUMMYFUNCTION("""COMPUTED_VALUE"""),"How do light and temperature affect photosynthesis in plants? - Version A")</f>
        <v>How do light and temperature affect photosynthesis in plants? - Version A</v>
      </c>
      <c r="B68" s="6" t="str">
        <f ca="1">IFERROR(__xludf.DUMMYFUNCTION("""COMPUTED_VALUE"""),"Resource")</f>
        <v>Resource</v>
      </c>
      <c r="C68" s="6" t="str">
        <f ca="1">IFERROR(__xludf.DUMMYFUNCTION("""COMPUTED_VALUE"""),"tekst3.graasp")</f>
        <v>tekst3.graasp</v>
      </c>
      <c r="D68" s="7" t="str">
        <f ca="1">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gt;&lt;/p&gt;&lt;p&gt;&lt;br&gt;&lt;/p&gt;&lt;p&gt;&lt;br&gt;&lt;/p&gt;&lt;p&gt;&lt;br&gt;&lt;/p&gt;</v>
      </c>
      <c r="E68" s="7" t="str">
        <f ca="1">IFERROR(__xludf.DUMMYFUNCTION("""COMPUTED_VALUE"""),"No artifact embedded")</f>
        <v>No artifact embedded</v>
      </c>
      <c r="F68" s="7"/>
      <c r="G68" s="8">
        <v>0</v>
      </c>
      <c r="H68" s="8">
        <v>0</v>
      </c>
      <c r="I68" s="8">
        <v>0</v>
      </c>
      <c r="J68" s="8">
        <v>0</v>
      </c>
      <c r="K68" s="9">
        <v>0</v>
      </c>
      <c r="L68" s="9">
        <v>0</v>
      </c>
      <c r="M68" s="9">
        <v>0</v>
      </c>
      <c r="N68" s="9">
        <v>0</v>
      </c>
      <c r="O68" s="10">
        <v>0</v>
      </c>
      <c r="P68" s="10">
        <v>0</v>
      </c>
      <c r="Q68" s="10">
        <v>0</v>
      </c>
      <c r="R68" s="10">
        <v>0</v>
      </c>
      <c r="S68" s="10">
        <v>0</v>
      </c>
    </row>
    <row r="69" spans="1:19" ht="25" customHeight="1" x14ac:dyDescent="0.2">
      <c r="A69" s="6" t="str">
        <f ca="1">IFERROR(__xludf.DUMMYFUNCTION("""COMPUTED_VALUE"""),"How do light and temperature affect photosynthesis in plants? - Version A")</f>
        <v>How do light and temperature affect photosynthesis in plants? - Version A</v>
      </c>
      <c r="B69" s="6" t="str">
        <f ca="1">IFERROR(__xludf.DUMMYFUNCTION("""COMPUTED_VALUE"""),"Space")</f>
        <v>Space</v>
      </c>
      <c r="C69" s="6" t="str">
        <f ca="1">IFERROR(__xludf.DUMMYFUNCTION("""COMPUTED_VALUE"""),"Reflection")</f>
        <v>Reflection</v>
      </c>
      <c r="D69" s="7" t="str">
        <f ca="1">IFERROR(__xludf.DUMMYFUNCTION("""COMPUTED_VALUE"""),"No task description")</f>
        <v>No task description</v>
      </c>
      <c r="E69" s="7" t="str">
        <f ca="1">IFERROR(__xludf.DUMMYFUNCTION("""COMPUTED_VALUE"""),"No artifact embedded")</f>
        <v>No artifact embedded</v>
      </c>
      <c r="F69" s="7"/>
      <c r="G69" s="8">
        <v>0</v>
      </c>
      <c r="H69" s="8">
        <v>0</v>
      </c>
      <c r="I69" s="8">
        <v>0</v>
      </c>
      <c r="J69" s="8">
        <v>0</v>
      </c>
      <c r="K69" s="9">
        <v>0</v>
      </c>
      <c r="L69" s="9">
        <v>0</v>
      </c>
      <c r="M69" s="9">
        <v>0</v>
      </c>
      <c r="N69" s="9">
        <v>0</v>
      </c>
      <c r="O69" s="10">
        <v>0</v>
      </c>
      <c r="P69" s="10">
        <v>0</v>
      </c>
      <c r="Q69" s="10">
        <v>0</v>
      </c>
      <c r="R69" s="10">
        <v>0</v>
      </c>
      <c r="S69" s="10">
        <v>0</v>
      </c>
    </row>
    <row r="70" spans="1:19" ht="61" customHeight="1" x14ac:dyDescent="0.2">
      <c r="A70" s="6" t="str">
        <f ca="1">IFERROR(__xludf.DUMMYFUNCTION("""COMPUTED_VALUE"""),"How do light and temperature affect photosynthesis in plants? - Version A")</f>
        <v>How do light and temperature affect photosynthesis in plants? - Version A</v>
      </c>
      <c r="B70" s="6" t="str">
        <f ca="1">IFERROR(__xludf.DUMMYFUNCTION("""COMPUTED_VALUE"""),"Resource")</f>
        <v>Resource</v>
      </c>
      <c r="C70" s="6" t="str">
        <f ca="1">IFERROR(__xludf.DUMMYFUNCTION("""COMPUTED_VALUE"""),"text1.graasp")</f>
        <v>text1.graasp</v>
      </c>
      <c r="D70" s="7" t="str">
        <f ca="1">IFERROR(__xludf.DUMMYFUNCTION("""COMPUTED_VALUE"""),"&lt;p&gt;Think about your collaborative experience and anwer these questions:&lt;/p&gt;")</f>
        <v>&lt;p&gt;Think about your collaborative experience and anwer these questions:&lt;/p&gt;</v>
      </c>
      <c r="E70" s="7" t="str">
        <f ca="1">IFERROR(__xludf.DUMMYFUNCTION("""COMPUTED_VALUE"""),"No artifact embedded")</f>
        <v>No artifact embedded</v>
      </c>
      <c r="F70" s="7"/>
      <c r="G70" s="8">
        <v>0</v>
      </c>
      <c r="H70" s="8">
        <v>0</v>
      </c>
      <c r="I70" s="8">
        <v>1</v>
      </c>
      <c r="J70" s="8">
        <v>0</v>
      </c>
      <c r="K70" s="9">
        <v>0</v>
      </c>
      <c r="L70" s="9">
        <v>1</v>
      </c>
      <c r="M70" s="9">
        <v>0</v>
      </c>
      <c r="N70" s="9">
        <v>0</v>
      </c>
      <c r="O70" s="10">
        <v>0</v>
      </c>
      <c r="P70" s="10">
        <v>0</v>
      </c>
      <c r="Q70" s="10">
        <v>0</v>
      </c>
      <c r="R70" s="10">
        <v>0</v>
      </c>
      <c r="S70" s="10">
        <v>1</v>
      </c>
    </row>
    <row r="71" spans="1:19" ht="318" customHeight="1" x14ac:dyDescent="0.2">
      <c r="A71" s="6" t="str">
        <f ca="1">IFERROR(__xludf.DUMMYFUNCTION("""COMPUTED_VALUE"""),"How do light and temperature affect photosynthesis in plants? - Version A")</f>
        <v>How do light and temperature affect photosynthesis in plants? - Version A</v>
      </c>
      <c r="B71" s="6" t="str">
        <f ca="1">IFERROR(__xludf.DUMMYFUNCTION("""COMPUTED_VALUE"""),"Application")</f>
        <v>Application</v>
      </c>
      <c r="C71" s="6" t="str">
        <f ca="1">IFERROR(__xludf.DUMMYFUNCTION("""COMPUTED_VALUE"""),"Input Box")</f>
        <v>Input Box</v>
      </c>
      <c r="D71" s="7" t="str">
        <f ca="1">IFERROR(__xludf.DUMMYFUNCTION("""COMPUTED_VALUE"""),"&lt;p&gt;1. What was most difficult when working collaboratively? Why?&lt;/p&gt;")</f>
        <v>&lt;p&gt;1. What was most difficult when working collaboratively? Why?&lt;/p&gt;</v>
      </c>
      <c r="E7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1" s="7"/>
      <c r="G71" s="8">
        <v>0</v>
      </c>
      <c r="H71" s="8">
        <v>0</v>
      </c>
      <c r="I71" s="8">
        <v>1</v>
      </c>
      <c r="J71" s="8">
        <v>0</v>
      </c>
      <c r="K71" s="9">
        <v>0</v>
      </c>
      <c r="L71" s="9">
        <v>1</v>
      </c>
      <c r="M71" s="9">
        <v>0</v>
      </c>
      <c r="N71" s="9">
        <v>0</v>
      </c>
      <c r="O71" s="10">
        <v>0</v>
      </c>
      <c r="P71" s="10">
        <v>0</v>
      </c>
      <c r="Q71" s="10">
        <v>0</v>
      </c>
      <c r="R71" s="10">
        <v>0</v>
      </c>
      <c r="S71" s="10">
        <v>1</v>
      </c>
    </row>
    <row r="72" spans="1:19" ht="318" customHeight="1" x14ac:dyDescent="0.2">
      <c r="A72" s="6" t="str">
        <f ca="1">IFERROR(__xludf.DUMMYFUNCTION("""COMPUTED_VALUE"""),"How do light and temperature affect photosynthesis in plants? - Version A")</f>
        <v>How do light and temperature affect photosynthesis in plants? - Version A</v>
      </c>
      <c r="B72" s="6" t="str">
        <f ca="1">IFERROR(__xludf.DUMMYFUNCTION("""COMPUTED_VALUE"""),"Application")</f>
        <v>Application</v>
      </c>
      <c r="C72" s="6" t="str">
        <f ca="1">IFERROR(__xludf.DUMMYFUNCTION("""COMPUTED_VALUE"""),"Input Box (1)")</f>
        <v>Input Box (1)</v>
      </c>
      <c r="D72" s="7" t="str">
        <f ca="1">IFERROR(__xludf.DUMMYFUNCTION("""COMPUTED_VALUE"""),"&lt;p&gt;2. What would you do differently next time you have to solve a similar collaborative task?&lt;/p&gt;")</f>
        <v>&lt;p&gt;2. What would you do differently next time you have to solve a similar collaborative task?&lt;/p&gt;</v>
      </c>
      <c r="E7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2" s="7"/>
      <c r="G72" s="8">
        <v>0</v>
      </c>
      <c r="H72" s="8">
        <v>0</v>
      </c>
      <c r="I72" s="8">
        <v>1</v>
      </c>
      <c r="J72" s="8">
        <v>0</v>
      </c>
      <c r="K72" s="9">
        <v>0</v>
      </c>
      <c r="L72" s="9">
        <v>1</v>
      </c>
      <c r="M72" s="9">
        <v>0</v>
      </c>
      <c r="N72" s="9">
        <v>0</v>
      </c>
      <c r="O72" s="10">
        <v>0</v>
      </c>
      <c r="P72" s="10">
        <v>0</v>
      </c>
      <c r="Q72" s="10">
        <v>0</v>
      </c>
      <c r="R72" s="10">
        <v>0</v>
      </c>
      <c r="S72" s="10">
        <v>1</v>
      </c>
    </row>
    <row r="73" spans="1:19" ht="85" customHeight="1" x14ac:dyDescent="0.2">
      <c r="A73" s="6" t="str">
        <f ca="1">IFERROR(__xludf.DUMMYFUNCTION("""COMPUTED_VALUE"""),"How do light and temperature affect photosynthesis in plants? - Version A")</f>
        <v>How do light and temperature affect photosynthesis in plants? - Version A</v>
      </c>
      <c r="B73" s="6" t="str">
        <f ca="1">IFERROR(__xludf.DUMMYFUNCTION("""COMPUTED_VALUE"""),"Resource")</f>
        <v>Resource</v>
      </c>
      <c r="C73" s="6" t="str">
        <f ca="1">IFERROR(__xludf.DUMMYFUNCTION("""COMPUTED_VALUE"""),"text2.graasp")</f>
        <v>text2.graasp</v>
      </c>
      <c r="D73" s="7" t="str">
        <f ca="1">IFERROR(__xludf.DUMMYFUNCTION("""COMPUTED_VALUE"""),"&lt;p&gt;After both of the questions you can continue to the next phase called &lt;strong&gt;Predict&lt;/strong&gt;.&lt;/p&gt;")</f>
        <v>&lt;p&gt;After both of the questions you can continue to the next phase called &lt;strong&gt;Predict&lt;/strong&gt;.&lt;/p&gt;</v>
      </c>
      <c r="E73" s="7" t="str">
        <f ca="1">IFERROR(__xludf.DUMMYFUNCTION("""COMPUTED_VALUE"""),"No artifact embedded")</f>
        <v>No artifact embedded</v>
      </c>
      <c r="F73" s="7"/>
      <c r="G73" s="8">
        <v>0</v>
      </c>
      <c r="H73" s="8">
        <v>0</v>
      </c>
      <c r="I73" s="8">
        <v>0</v>
      </c>
      <c r="J73" s="8">
        <v>0</v>
      </c>
      <c r="K73" s="9">
        <v>0</v>
      </c>
      <c r="L73" s="9">
        <v>0</v>
      </c>
      <c r="M73" s="9">
        <v>0</v>
      </c>
      <c r="N73" s="9">
        <v>0</v>
      </c>
      <c r="O73" s="10">
        <v>0</v>
      </c>
      <c r="P73" s="10">
        <v>0</v>
      </c>
      <c r="Q73" s="10">
        <v>0</v>
      </c>
      <c r="R73" s="10">
        <v>0</v>
      </c>
      <c r="S73" s="10">
        <v>0</v>
      </c>
    </row>
    <row r="74" spans="1:19" ht="25" customHeight="1" x14ac:dyDescent="0.2">
      <c r="A74" s="6" t="str">
        <f ca="1">IFERROR(__xludf.DUMMYFUNCTION("""COMPUTED_VALUE"""),"How do light and temperature affect photosynthesis in plants? - Version A")</f>
        <v>How do light and temperature affect photosynthesis in plants? - Version A</v>
      </c>
      <c r="B74" s="6" t="str">
        <f ca="1">IFERROR(__xludf.DUMMYFUNCTION("""COMPUTED_VALUE"""),"Space")</f>
        <v>Space</v>
      </c>
      <c r="C74" s="6" t="str">
        <f ca="1">IFERROR(__xludf.DUMMYFUNCTION("""COMPUTED_VALUE"""),"Predict")</f>
        <v>Predict</v>
      </c>
      <c r="D74" s="7" t="str">
        <f ca="1">IFERROR(__xludf.DUMMYFUNCTION("""COMPUTED_VALUE"""),"No task description")</f>
        <v>No task description</v>
      </c>
      <c r="E74" s="7" t="str">
        <f ca="1">IFERROR(__xludf.DUMMYFUNCTION("""COMPUTED_VALUE"""),"No artifact embedded")</f>
        <v>No artifact embedded</v>
      </c>
      <c r="F74" s="7"/>
      <c r="G74" s="8">
        <v>0</v>
      </c>
      <c r="H74" s="8">
        <v>0</v>
      </c>
      <c r="I74" s="8">
        <v>0</v>
      </c>
      <c r="J74" s="8">
        <v>0</v>
      </c>
      <c r="K74" s="9">
        <v>0</v>
      </c>
      <c r="L74" s="9">
        <v>0</v>
      </c>
      <c r="M74" s="9">
        <v>0</v>
      </c>
      <c r="N74" s="9">
        <v>0</v>
      </c>
      <c r="O74" s="10">
        <v>0</v>
      </c>
      <c r="P74" s="10">
        <v>0</v>
      </c>
      <c r="Q74" s="10">
        <v>0</v>
      </c>
      <c r="R74" s="10">
        <v>0</v>
      </c>
      <c r="S74" s="10">
        <v>0</v>
      </c>
    </row>
    <row r="75" spans="1:19" ht="133" customHeight="1" x14ac:dyDescent="0.2">
      <c r="A75" s="6" t="str">
        <f ca="1">IFERROR(__xludf.DUMMYFUNCTION("""COMPUTED_VALUE"""),"How do light and temperature affect photosynthesis in plants? - Version A")</f>
        <v>How do light and temperature affect photosynthesis in plants? - Version A</v>
      </c>
      <c r="B75" s="6" t="str">
        <f ca="1">IFERROR(__xludf.DUMMYFUNCTION("""COMPUTED_VALUE"""),"Resource")</f>
        <v>Resource</v>
      </c>
      <c r="C75" s="6" t="str">
        <f ca="1">IFERROR(__xludf.DUMMYFUNCTION("""COMPUTED_VALUE"""),"tekst3.graasp")</f>
        <v>tekst3.graasp</v>
      </c>
      <c r="D75" s="7" t="str">
        <f ca="1">IFERROR(__xludf.DUMMYFUNCTION("""COMPUTED_VALUE"""),"&lt;p&gt;&lt;strong&gt;Good job!&lt;/strong&gt; You have completed the first half of this lesson. After answering the two questions below, you will begin with a new experiment.&lt;/p&gt;")</f>
        <v>&lt;p&gt;&lt;strong&gt;Good job!&lt;/strong&gt; You have completed the first half of this lesson. After answering the two questions below, you will begin with a new experiment.&lt;/p&gt;</v>
      </c>
      <c r="E75" s="7" t="str">
        <f ca="1">IFERROR(__xludf.DUMMYFUNCTION("""COMPUTED_VALUE"""),"No artifact embedded")</f>
        <v>No artifact embedded</v>
      </c>
      <c r="F75" s="7"/>
      <c r="G75" s="8">
        <v>0</v>
      </c>
      <c r="H75" s="8">
        <v>0</v>
      </c>
      <c r="I75" s="8">
        <v>1</v>
      </c>
      <c r="J75" s="8">
        <v>0</v>
      </c>
      <c r="K75" s="9">
        <v>0</v>
      </c>
      <c r="L75" s="9">
        <v>1</v>
      </c>
      <c r="M75" s="9">
        <v>0</v>
      </c>
      <c r="N75" s="9">
        <v>0</v>
      </c>
      <c r="O75" s="10">
        <v>0</v>
      </c>
      <c r="P75" s="10">
        <v>0</v>
      </c>
      <c r="Q75" s="10">
        <v>1</v>
      </c>
      <c r="R75" s="10">
        <v>0</v>
      </c>
      <c r="S75" s="10">
        <v>0</v>
      </c>
    </row>
    <row r="76" spans="1:19" ht="274" customHeight="1" x14ac:dyDescent="0.2">
      <c r="A76" s="6" t="str">
        <f ca="1">IFERROR(__xludf.DUMMYFUNCTION("""COMPUTED_VALUE"""),"How do light and temperature affect photosynthesis in plants? - Version A")</f>
        <v>How do light and temperature affect photosynthesis in plants? - Version A</v>
      </c>
      <c r="B76" s="6" t="str">
        <f ca="1">IFERROR(__xludf.DUMMYFUNCTION("""COMPUTED_VALUE"""),"Application")</f>
        <v>Application</v>
      </c>
      <c r="C76" s="6" t="str">
        <f ca="1">IFERROR(__xludf.DUMMYFUNCTION("""COMPUTED_VALUE"""),"Quiz Tool")</f>
        <v>Quiz Tool</v>
      </c>
      <c r="D76" s="7" t="str">
        <f ca="1">IFERROR(__xludf.DUMMYFUNCTION("""COMPUTED_VALUE"""),"No task description")</f>
        <v>No task description</v>
      </c>
      <c r="E76"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6" s="7"/>
      <c r="G76" s="8">
        <v>0</v>
      </c>
      <c r="H76" s="8">
        <v>0</v>
      </c>
      <c r="I76" s="8">
        <v>0</v>
      </c>
      <c r="J76" s="8">
        <v>1</v>
      </c>
      <c r="K76" s="9">
        <v>0</v>
      </c>
      <c r="L76" s="9">
        <v>1</v>
      </c>
      <c r="M76" s="9">
        <v>0</v>
      </c>
      <c r="N76" s="9">
        <v>0</v>
      </c>
      <c r="O76" s="10">
        <v>0</v>
      </c>
      <c r="P76" s="10">
        <v>0</v>
      </c>
      <c r="Q76" s="10">
        <v>0</v>
      </c>
      <c r="R76" s="10">
        <v>0</v>
      </c>
      <c r="S76" s="10">
        <v>1</v>
      </c>
    </row>
    <row r="77" spans="1:19" ht="409.5" customHeight="1" x14ac:dyDescent="0.2">
      <c r="A77" s="6" t="str">
        <f ca="1">IFERROR(__xludf.DUMMYFUNCTION("""COMPUTED_VALUE"""),"How do light and temperature affect photosynthesis in plants? - Version A")</f>
        <v>How do light and temperature affect photosynthesis in plants? - Version A</v>
      </c>
      <c r="B77" s="6" t="str">
        <f ca="1">IFERROR(__xludf.DUMMYFUNCTION("""COMPUTED_VALUE"""),"Resource")</f>
        <v>Resource</v>
      </c>
      <c r="C77" s="6" t="str">
        <f ca="1">IFERROR(__xludf.DUMMYFUNCTION("""COMPUTED_VALUE"""),"tekst1.graasp")</f>
        <v>tekst1.graasp</v>
      </c>
      <c r="D77" s="7" t="str">
        <f ca="1">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&lt;hr&gt;&lt;p&gt;Now you will proceed to a new experiment. In the previous simulation it was not possible to change the water temperature in the aquarium. However, in the next simulation you will be able to change the temperature. For the remaining tasks you are to work individually.&lt;/p&gt;&lt;p&gt;To prepare for the new experiment, use the scratchpad tool below to formulate a prediction (hypothesis) based on the following research question:&lt;/p&gt;&lt;p&gt;&lt;strong&gt;How does photosynthesis in aquarium plants depend on temperature?&lt;/strong&gt;&lt;/p&gt;</v>
      </c>
      <c r="E77" s="7" t="str">
        <f ca="1">IFERROR(__xludf.DUMMYFUNCTION("""COMPUTED_VALUE"""),"No artifact embedded")</f>
        <v>No artifact embedded</v>
      </c>
      <c r="F77" s="7"/>
      <c r="G77" s="8">
        <v>0</v>
      </c>
      <c r="H77" s="8">
        <v>0</v>
      </c>
      <c r="I77" s="8">
        <v>1</v>
      </c>
      <c r="J77" s="8">
        <v>0</v>
      </c>
      <c r="K77" s="9">
        <v>0</v>
      </c>
      <c r="L77" s="9">
        <v>1</v>
      </c>
      <c r="M77" s="9">
        <v>0</v>
      </c>
      <c r="N77" s="9">
        <v>0</v>
      </c>
      <c r="O77" s="10">
        <v>0</v>
      </c>
      <c r="P77" s="10">
        <v>1</v>
      </c>
      <c r="Q77" s="10">
        <v>1</v>
      </c>
      <c r="R77" s="10">
        <v>0</v>
      </c>
      <c r="S77" s="10">
        <v>0</v>
      </c>
    </row>
    <row r="78" spans="1:19" ht="409.5" customHeight="1" x14ac:dyDescent="0.2">
      <c r="A78" s="6" t="str">
        <f ca="1">IFERROR(__xludf.DUMMYFUNCTION("""COMPUTED_VALUE"""),"How do light and temperature affect photosynthesis in plants? - Version A")</f>
        <v>How do light and temperature affect photosynthesis in plants? - Version A</v>
      </c>
      <c r="B78" s="6" t="str">
        <f ca="1">IFERROR(__xludf.DUMMYFUNCTION("""COMPUTED_VALUE"""),"Application")</f>
        <v>Application</v>
      </c>
      <c r="C78" s="6" t="str">
        <f ca="1">IFERROR(__xludf.DUMMYFUNCTION("""COMPUTED_VALUE"""),"Hypothesis Scratchpad")</f>
        <v>Hypothesis Scratchpad</v>
      </c>
      <c r="D78" s="7" t="str">
        <f ca="1">IFERROR(__xludf.DUMMYFUNCTION("""COMPUTED_VALUE"""),"No task description")</f>
        <v>No task description</v>
      </c>
      <c r="E78"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78" s="7"/>
      <c r="G78" s="8">
        <v>0</v>
      </c>
      <c r="H78" s="8">
        <v>0</v>
      </c>
      <c r="I78" s="8">
        <v>1</v>
      </c>
      <c r="J78" s="8">
        <v>0</v>
      </c>
      <c r="K78" s="9">
        <v>0</v>
      </c>
      <c r="L78" s="9">
        <v>1</v>
      </c>
      <c r="M78" s="9">
        <v>0</v>
      </c>
      <c r="N78" s="9">
        <v>0</v>
      </c>
      <c r="O78" s="10">
        <v>0</v>
      </c>
      <c r="P78" s="10">
        <v>1</v>
      </c>
      <c r="Q78" s="10">
        <v>0</v>
      </c>
      <c r="R78" s="10">
        <v>0</v>
      </c>
      <c r="S78" s="10">
        <v>0</v>
      </c>
    </row>
    <row r="79" spans="1:19" ht="157" customHeight="1" x14ac:dyDescent="0.2">
      <c r="A79" s="6" t="str">
        <f ca="1">IFERROR(__xludf.DUMMYFUNCTION("""COMPUTED_VALUE"""),"How do light and temperature affect photosynthesis in plants? - Version A")</f>
        <v>How do light and temperature affect photosynthesis in plants? - Version A</v>
      </c>
      <c r="B79" s="6" t="str">
        <f ca="1">IFERROR(__xludf.DUMMYFUNCTION("""COMPUTED_VALUE"""),"Resource")</f>
        <v>Resource</v>
      </c>
      <c r="C79" s="6" t="str">
        <f ca="1">IFERROR(__xludf.DUMMYFUNCTION("""COMPUTED_VALUE"""),"tekst2.graasp")</f>
        <v>tekst2.graasp</v>
      </c>
      <c r="D79" s="7" t="str">
        <f ca="1">IFERROR(__xludf.DUMMYFUNCTION("""COMPUTED_VALUE"""),"&lt;p&gt;When you finished making your prediction (hypothesis) click on the tab &lt;strong&gt;Investigate&lt;/strong&gt; in the top of your screen.&lt;br&gt;&lt;/p&gt;&lt;p&gt;&lt;br&gt;&lt;/p&gt;&lt;p&gt;&lt;br&gt;&lt;/p&gt;&lt;p&gt;&lt;br&gt;&lt;/p&gt;&lt;p&gt;&lt;br&gt;&lt;/p&gt;")</f>
        <v>&lt;p&gt;When you finished making your prediction (hypothesis) click on the tab &lt;strong&gt;Investigate&lt;/strong&gt; in the top of your screen.&lt;br&gt;&lt;/p&gt;&lt;p&gt;&lt;br&gt;&lt;/p&gt;&lt;p&gt;&lt;br&gt;&lt;/p&gt;&lt;p&gt;&lt;br&gt;&lt;/p&gt;&lt;p&gt;&lt;br&gt;&lt;/p&gt;</v>
      </c>
      <c r="E79" s="7" t="str">
        <f ca="1">IFERROR(__xludf.DUMMYFUNCTION("""COMPUTED_VALUE"""),"No artifact embedded")</f>
        <v>No artifact embedded</v>
      </c>
      <c r="F79" s="7"/>
      <c r="G79" s="8">
        <v>0</v>
      </c>
      <c r="H79" s="8">
        <v>0</v>
      </c>
      <c r="I79" s="8">
        <v>0</v>
      </c>
      <c r="J79" s="8">
        <v>0</v>
      </c>
      <c r="K79" s="9">
        <v>0</v>
      </c>
      <c r="L79" s="9">
        <v>0</v>
      </c>
      <c r="M79" s="9">
        <v>0</v>
      </c>
      <c r="N79" s="9">
        <v>0</v>
      </c>
      <c r="O79" s="10">
        <v>0</v>
      </c>
      <c r="P79" s="10">
        <v>0</v>
      </c>
      <c r="Q79" s="10">
        <v>0</v>
      </c>
      <c r="R79" s="10">
        <v>0</v>
      </c>
      <c r="S79" s="10">
        <v>0</v>
      </c>
    </row>
    <row r="80" spans="1:19" ht="25" customHeight="1" x14ac:dyDescent="0.2">
      <c r="A80" s="6" t="str">
        <f ca="1">IFERROR(__xludf.DUMMYFUNCTION("""COMPUTED_VALUE"""),"How do light and temperature affect photosynthesis in plants? - Version A")</f>
        <v>How do light and temperature affect photosynthesis in plants? - Version A</v>
      </c>
      <c r="B80" s="6" t="str">
        <f ca="1">IFERROR(__xludf.DUMMYFUNCTION("""COMPUTED_VALUE"""),"Space")</f>
        <v>Space</v>
      </c>
      <c r="C80" s="6" t="str">
        <f ca="1">IFERROR(__xludf.DUMMYFUNCTION("""COMPUTED_VALUE"""),"Investigation")</f>
        <v>Investigation</v>
      </c>
      <c r="D80" s="7" t="str">
        <f ca="1">IFERROR(__xludf.DUMMYFUNCTION("""COMPUTED_VALUE"""),"No task description")</f>
        <v>No task description</v>
      </c>
      <c r="E80" s="7" t="str">
        <f ca="1">IFERROR(__xludf.DUMMYFUNCTION("""COMPUTED_VALUE"""),"No artifact embedded")</f>
        <v>No artifact embedded</v>
      </c>
      <c r="F80" s="7"/>
      <c r="G80" s="8">
        <v>0</v>
      </c>
      <c r="H80" s="8">
        <v>0</v>
      </c>
      <c r="I80" s="8">
        <v>0</v>
      </c>
      <c r="J80" s="8">
        <v>0</v>
      </c>
      <c r="K80" s="9">
        <v>0</v>
      </c>
      <c r="L80" s="9">
        <v>0</v>
      </c>
      <c r="M80" s="9">
        <v>0</v>
      </c>
      <c r="N80" s="9">
        <v>0</v>
      </c>
      <c r="O80" s="10">
        <v>0</v>
      </c>
      <c r="P80" s="10">
        <v>0</v>
      </c>
      <c r="Q80" s="10">
        <v>0</v>
      </c>
      <c r="R80" s="10">
        <v>0</v>
      </c>
      <c r="S80" s="10">
        <v>0</v>
      </c>
    </row>
    <row r="81" spans="1:19" ht="274" customHeight="1" x14ac:dyDescent="0.2">
      <c r="A81" s="6" t="str">
        <f ca="1">IFERROR(__xludf.DUMMYFUNCTION("""COMPUTED_VALUE"""),"How do light and temperature affect photosynthesis in plants? - Version A")</f>
        <v>How do light and temperature affect photosynthesis in plants? - Version A</v>
      </c>
      <c r="B81" s="6" t="str">
        <f ca="1">IFERROR(__xludf.DUMMYFUNCTION("""COMPUTED_VALUE"""),"Resource")</f>
        <v>Resource</v>
      </c>
      <c r="C81" s="6" t="str">
        <f ca="1">IFERROR(__xludf.DUMMYFUNCTION("""COMPUTED_VALUE"""),"Vaatluste selgitus.graasp")</f>
        <v>Vaatluste selgitus.graasp</v>
      </c>
      <c r="D81" s="7" t="str">
        <f ca="1">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&lt;p&gt;Here you will test whether your prediction (hypothesis) is confirmed or disconfirmed by the results of making experiments.&lt;/p&gt;&lt;p&gt;In the simulation below you can make experiments testing how light intensity and temperature affect photosynthesis in an aquarium plant. Record your results using the "Observation" tool.&lt;/p&gt;</v>
      </c>
      <c r="E81" s="7" t="str">
        <f ca="1">IFERROR(__xludf.DUMMYFUNCTION("""COMPUTED_VALUE"""),"No artifact embedded")</f>
        <v>No artifact embedded</v>
      </c>
      <c r="F81" s="7"/>
      <c r="G81" s="8">
        <v>0</v>
      </c>
      <c r="H81" s="8">
        <v>0</v>
      </c>
      <c r="I81" s="8">
        <v>1</v>
      </c>
      <c r="J81" s="8">
        <v>0</v>
      </c>
      <c r="K81" s="9">
        <v>0</v>
      </c>
      <c r="L81" s="9">
        <v>1</v>
      </c>
      <c r="M81" s="9">
        <v>0</v>
      </c>
      <c r="N81" s="9">
        <v>0</v>
      </c>
      <c r="O81" s="10">
        <v>0</v>
      </c>
      <c r="P81" s="10">
        <v>0</v>
      </c>
      <c r="Q81" s="10">
        <v>1</v>
      </c>
      <c r="R81" s="10">
        <v>0</v>
      </c>
      <c r="S81" s="10">
        <v>0</v>
      </c>
    </row>
    <row r="82" spans="1:19" ht="318" customHeight="1" x14ac:dyDescent="0.2">
      <c r="A82" s="6" t="str">
        <f ca="1">IFERROR(__xludf.DUMMYFUNCTION("""COMPUTED_VALUE"""),"How do light and temperature affect photosynthesis in plants? - Version A")</f>
        <v>How do light and temperature affect photosynthesis in plants? - Version A</v>
      </c>
      <c r="B82" s="6" t="str">
        <f ca="1">IFERROR(__xludf.DUMMYFUNCTION("""COMPUTED_VALUE"""),"Application")</f>
        <v>Application</v>
      </c>
      <c r="C82" s="6" t="str">
        <f ca="1">IFERROR(__xludf.DUMMYFUNCTION("""COMPUTED_VALUE"""),"Viewer")</f>
        <v>Viewer</v>
      </c>
      <c r="D82" s="7" t="str">
        <f ca="1">IFERROR(__xludf.DUMMYFUNCTION("""COMPUTED_VALUE"""),"No task description")</f>
        <v>No task description</v>
      </c>
      <c r="E82" s="7" t="str">
        <f ca="1">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Golabz app/lab: "&lt;p&gt;The viewer displays the content of another app in the ILS. It prevents the student from having to go back and forth between different phases, in order to consult an earlier result.&amp;nbsp;&lt;/p&gt;\r\n\r\n&lt;p&gt;The viewer can display the content of the concept mapper, hypothesis scratchpad, question scratchpad, data viewer, table tool, observation tool, name the frame and input/entry box.&lt;/p&gt;\r\n"</v>
      </c>
      <c r="F82" s="7"/>
      <c r="G82" s="8">
        <v>1</v>
      </c>
      <c r="H82" s="8">
        <v>0</v>
      </c>
      <c r="I82" s="8">
        <v>0</v>
      </c>
      <c r="J82" s="8">
        <v>0</v>
      </c>
      <c r="K82" s="9">
        <v>1</v>
      </c>
      <c r="L82" s="9">
        <v>0</v>
      </c>
      <c r="M82" s="9">
        <v>0</v>
      </c>
      <c r="N82" s="9">
        <v>0</v>
      </c>
      <c r="O82" s="10">
        <v>0</v>
      </c>
      <c r="P82" s="10">
        <v>0</v>
      </c>
      <c r="Q82" s="10">
        <v>0</v>
      </c>
      <c r="R82" s="10">
        <v>0</v>
      </c>
      <c r="S82" s="10">
        <v>0</v>
      </c>
    </row>
    <row r="83" spans="1:19" ht="409.5" customHeight="1" x14ac:dyDescent="0.2">
      <c r="A83" s="6" t="str">
        <f ca="1">IFERROR(__xludf.DUMMYFUNCTION("""COMPUTED_VALUE"""),"How do light and temperature affect photosynthesis in plants? - Version A")</f>
        <v>How do light and temperature affect photosynthesis in plants? - Version A</v>
      </c>
      <c r="B83" s="6" t="str">
        <f ca="1">IFERROR(__xludf.DUMMYFUNCTION("""COMPUTED_VALUE"""),"Application")</f>
        <v>Application</v>
      </c>
      <c r="C83" s="6" t="str">
        <f ca="1">IFERROR(__xludf.DUMMYFUNCTION("""COMPUTED_VALUE"""),"Rate of Photosynthesis Lab (HTML5)")</f>
        <v>Rate of Photosynthesis Lab (HTML5)</v>
      </c>
      <c r="D83" s="7" t="str">
        <f ca="1">IFERROR(__xludf.DUMMYFUNCTION("""COMPUTED_VALUE"""),"No task description")</f>
        <v>No task description</v>
      </c>
      <c r="E83" s="7" t="str">
        <f ca="1">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Golabz app/lab: &lt;p&gt;This lab is an abridged Html5 version of the Flash-based &lt;a href="https://www.golabz.eu/lab/photolab"&gt;Photolab&lt;/a&gt;. It has been optimized to work with tablet computers.&lt;/p&gt;\r\n\r\n&lt;p&gt;The lab allows a user to vary the light intensity and temperature conditions of an aquarium plant and observe how fast it is&amp;nbsp;photosynthesizing. The number of&amp;nbsp;oxygen bubbles the plant releases per minute is a measure of the rate of photosynthesis.&lt;/p&gt;\r\n\r\n&lt;p&gt;The rate of photosynthesis will increase with increasing light intensity. However, at high intensities the rate of photosynthesis does not increase as quickly anymore. The rate of photosynthesis is optimal at room temperaure (25 °C).&amp;nbsp; At low (10 °C)&amp;nbsp;and high temperatures (40 °C)&amp;nbsp;the rate of photosynthesis is not as efficient.&lt;/p&gt;\r\n'</v>
      </c>
      <c r="F83" s="7"/>
      <c r="G83" s="8">
        <v>0</v>
      </c>
      <c r="H83" s="8">
        <v>1</v>
      </c>
      <c r="I83" s="8">
        <v>0</v>
      </c>
      <c r="J83" s="8">
        <v>0</v>
      </c>
      <c r="K83" s="9">
        <v>1</v>
      </c>
      <c r="L83" s="9">
        <v>0</v>
      </c>
      <c r="M83" s="9">
        <v>0</v>
      </c>
      <c r="N83" s="9">
        <v>0</v>
      </c>
      <c r="O83" s="10">
        <v>0</v>
      </c>
      <c r="P83" s="10">
        <v>0</v>
      </c>
      <c r="Q83" s="10">
        <v>1</v>
      </c>
      <c r="R83" s="10">
        <v>0</v>
      </c>
      <c r="S83" s="10">
        <v>0</v>
      </c>
    </row>
    <row r="84" spans="1:19" ht="263" customHeight="1" x14ac:dyDescent="0.2">
      <c r="A84" s="6" t="str">
        <f ca="1">IFERROR(__xludf.DUMMYFUNCTION("""COMPUTED_VALUE"""),"How do light and temperature affect photosynthesis in plants? - Version A")</f>
        <v>How do light and temperature affect photosynthesis in plants? - Version A</v>
      </c>
      <c r="B84" s="6" t="str">
        <f ca="1">IFERROR(__xludf.DUMMYFUNCTION("""COMPUTED_VALUE"""),"Resource")</f>
        <v>Resource</v>
      </c>
      <c r="C84" s="6" t="str">
        <f ca="1">IFERROR(__xludf.DUMMYFUNCTION("""COMPUTED_VALUE"""),"Vaatluste selgitus 2.graasp")</f>
        <v>Vaatluste selgitus 2.graasp</v>
      </c>
      <c r="D84" s="7" t="str">
        <f ca="1">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&lt;p&gt;Make sure you collect enough information to determine if your prediction (hypothesis) should be accepted or rejected. This means making several experiments. Write your results using the Observation tool below so that in the next step you can review your data to make a final conclusion.&lt;/p&gt;</v>
      </c>
      <c r="E84" s="7" t="str">
        <f ca="1">IFERROR(__xludf.DUMMYFUNCTION("""COMPUTED_VALUE"""),"No artifact embedded")</f>
        <v>No artifact embedded</v>
      </c>
      <c r="F84" s="7"/>
      <c r="G84" s="8">
        <v>0</v>
      </c>
      <c r="H84" s="8">
        <v>0</v>
      </c>
      <c r="I84" s="8">
        <v>1</v>
      </c>
      <c r="J84" s="8">
        <v>0</v>
      </c>
      <c r="K84" s="9">
        <v>0</v>
      </c>
      <c r="L84" s="9">
        <v>1</v>
      </c>
      <c r="M84" s="9">
        <v>0</v>
      </c>
      <c r="N84" s="9">
        <v>0</v>
      </c>
      <c r="O84" s="10">
        <v>0</v>
      </c>
      <c r="P84" s="10">
        <v>0</v>
      </c>
      <c r="Q84" s="10">
        <v>1</v>
      </c>
      <c r="R84" s="10">
        <v>1</v>
      </c>
      <c r="S84" s="10">
        <v>0</v>
      </c>
    </row>
    <row r="85" spans="1:19" ht="384" customHeight="1" x14ac:dyDescent="0.2">
      <c r="A85" s="6" t="str">
        <f ca="1">IFERROR(__xludf.DUMMYFUNCTION("""COMPUTED_VALUE"""),"How do light and temperature affect photosynthesis in plants? - Version A")</f>
        <v>How do light and temperature affect photosynthesis in plants? - Version A</v>
      </c>
      <c r="B85" s="6" t="str">
        <f ca="1">IFERROR(__xludf.DUMMYFUNCTION("""COMPUTED_VALUE"""),"Application")</f>
        <v>Application</v>
      </c>
      <c r="C85" s="6" t="str">
        <f ca="1">IFERROR(__xludf.DUMMYFUNCTION("""COMPUTED_VALUE"""),"Observation Tool")</f>
        <v>Observation Tool</v>
      </c>
      <c r="D85" s="7" t="str">
        <f ca="1">IFERROR(__xludf.DUMMYFUNCTION("""COMPUTED_VALUE"""),"No task description")</f>
        <v>No task description</v>
      </c>
      <c r="E85"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5" s="7"/>
      <c r="G85" s="8">
        <v>0</v>
      </c>
      <c r="H85" s="8">
        <v>0</v>
      </c>
      <c r="I85" s="8">
        <v>1</v>
      </c>
      <c r="J85" s="8">
        <v>0</v>
      </c>
      <c r="K85" s="9">
        <v>0</v>
      </c>
      <c r="L85" s="9">
        <v>1</v>
      </c>
      <c r="M85" s="9">
        <v>0</v>
      </c>
      <c r="N85" s="9">
        <v>0</v>
      </c>
      <c r="O85" s="10">
        <v>0</v>
      </c>
      <c r="P85" s="10">
        <v>0</v>
      </c>
      <c r="Q85" s="10">
        <v>1</v>
      </c>
      <c r="R85" s="10">
        <v>0</v>
      </c>
      <c r="S85" s="10">
        <v>0</v>
      </c>
    </row>
    <row r="86" spans="1:19" ht="169" customHeight="1" x14ac:dyDescent="0.2">
      <c r="A86" s="6" t="str">
        <f ca="1">IFERROR(__xludf.DUMMYFUNCTION("""COMPUTED_VALUE"""),"How do light and temperature affect photosynthesis in plants? - Version A")</f>
        <v>How do light and temperature affect photosynthesis in plants? - Version A</v>
      </c>
      <c r="B86" s="6" t="str">
        <f ca="1">IFERROR(__xludf.DUMMYFUNCTION("""COMPUTED_VALUE"""),"Resource")</f>
        <v>Resource</v>
      </c>
      <c r="C86" s="6" t="str">
        <f ca="1">IFERROR(__xludf.DUMMYFUNCTION("""COMPUTED_VALUE"""),"Vaatlused edasi.graasp")</f>
        <v>Vaatlused edasi.graasp</v>
      </c>
      <c r="D86" s="7" t="str">
        <f ca="1">IFERROR(__xludf.DUMMYFUNCTION("""COMPUTED_VALUE"""),"&lt;p&gt;When you have collected enough information to address your hypothesis, click on the tab &lt;strong&gt;Conclusion&lt;/strong&gt; on the top of your screen.&lt;/p&gt;&lt;p&gt;&lt;br&gt;&lt;/p&gt;&lt;p&gt;&lt;br&gt;&lt;/p&gt;&lt;p&gt;&lt;br&gt;&lt;/p&gt;")</f>
        <v>&lt;p&gt;When you have collected enough information to address your hypothesis, click on the tab &lt;strong&gt;Conclusion&lt;/strong&gt; on the top of your screen.&lt;/p&gt;&lt;p&gt;&lt;br&gt;&lt;/p&gt;&lt;p&gt;&lt;br&gt;&lt;/p&gt;&lt;p&gt;&lt;br&gt;&lt;/p&gt;</v>
      </c>
      <c r="E86" s="7" t="str">
        <f ca="1">IFERROR(__xludf.DUMMYFUNCTION("""COMPUTED_VALUE"""),"No artifact embedded")</f>
        <v>No artifact embedded</v>
      </c>
      <c r="F86" s="7"/>
      <c r="G86" s="8">
        <v>0</v>
      </c>
      <c r="H86" s="8">
        <v>0</v>
      </c>
      <c r="I86" s="8">
        <v>0</v>
      </c>
      <c r="J86" s="8">
        <v>0</v>
      </c>
      <c r="K86" s="9">
        <v>0</v>
      </c>
      <c r="L86" s="9">
        <v>0</v>
      </c>
      <c r="M86" s="9">
        <v>0</v>
      </c>
      <c r="N86" s="9">
        <v>0</v>
      </c>
      <c r="O86" s="10">
        <v>0</v>
      </c>
      <c r="P86" s="10">
        <v>0</v>
      </c>
      <c r="Q86" s="10">
        <v>0</v>
      </c>
      <c r="R86" s="10">
        <v>0</v>
      </c>
      <c r="S86" s="10">
        <v>0</v>
      </c>
    </row>
    <row r="87" spans="1:19" ht="25" customHeight="1" x14ac:dyDescent="0.2">
      <c r="A87" s="6" t="str">
        <f ca="1">IFERROR(__xludf.DUMMYFUNCTION("""COMPUTED_VALUE"""),"How do light and temperature affect photosynthesis in plants? - Version A")</f>
        <v>How do light and temperature affect photosynthesis in plants? - Version A</v>
      </c>
      <c r="B87" s="6" t="str">
        <f ca="1">IFERROR(__xludf.DUMMYFUNCTION("""COMPUTED_VALUE"""),"Space")</f>
        <v>Space</v>
      </c>
      <c r="C87" s="6" t="str">
        <f ca="1">IFERROR(__xludf.DUMMYFUNCTION("""COMPUTED_VALUE"""),"Conclusion")</f>
        <v>Conclusion</v>
      </c>
      <c r="D87" s="7" t="str">
        <f ca="1">IFERROR(__xludf.DUMMYFUNCTION("""COMPUTED_VALUE"""),"No task description")</f>
        <v>No task description</v>
      </c>
      <c r="E87" s="7" t="str">
        <f ca="1">IFERROR(__xludf.DUMMYFUNCTION("""COMPUTED_VALUE"""),"No artifact embedded")</f>
        <v>No artifact embedded</v>
      </c>
      <c r="F87" s="7"/>
      <c r="G87" s="8">
        <v>0</v>
      </c>
      <c r="H87" s="8">
        <v>0</v>
      </c>
      <c r="I87" s="8">
        <v>0</v>
      </c>
      <c r="J87" s="8">
        <v>0</v>
      </c>
      <c r="K87" s="9">
        <v>0</v>
      </c>
      <c r="L87" s="9">
        <v>0</v>
      </c>
      <c r="M87" s="9">
        <v>0</v>
      </c>
      <c r="N87" s="9">
        <v>0</v>
      </c>
      <c r="O87" s="10">
        <v>0</v>
      </c>
      <c r="P87" s="10">
        <v>0</v>
      </c>
      <c r="Q87" s="10">
        <v>0</v>
      </c>
      <c r="R87" s="10">
        <v>0</v>
      </c>
      <c r="S87" s="10">
        <v>0</v>
      </c>
    </row>
    <row r="88" spans="1:19" ht="351" customHeight="1" x14ac:dyDescent="0.2">
      <c r="A88" s="6" t="str">
        <f ca="1">IFERROR(__xludf.DUMMYFUNCTION("""COMPUTED_VALUE"""),"How do light and temperature affect photosynthesis in plants? - Version A")</f>
        <v>How do light and temperature affect photosynthesis in plants? - Version A</v>
      </c>
      <c r="B88" s="6" t="str">
        <f ca="1">IFERROR(__xludf.DUMMYFUNCTION("""COMPUTED_VALUE"""),"Resource")</f>
        <v>Resource</v>
      </c>
      <c r="C88" s="6" t="str">
        <f ca="1">IFERROR(__xludf.DUMMYFUNCTION("""COMPUTED_VALUE"""),"tekst1.graasp")</f>
        <v>tekst1.graasp</v>
      </c>
      <c r="D88" s="7" t="str">
        <f ca="1">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&lt;p&gt;&lt;em&gt;You have reached the Concluson phase. Based on the evidence you collected you are now ready to state your final conclusion.&lt;/em&gt;&lt;/p&gt;&lt;p&gt;Use the Conclusion tool to write your final conclusion. But first, add your observations to the box labeled "Please add data" by clikcing on the + button and selecting each of the observations to add. &lt;/p&gt;&lt;p&gt;Finally, explain whether you chose to accept or reject your hypothesis when writing your final conclusion.&lt;/p&gt;</v>
      </c>
      <c r="E88" s="7" t="str">
        <f ca="1">IFERROR(__xludf.DUMMYFUNCTION("""COMPUTED_VALUE"""),"No artifact embedded")</f>
        <v>No artifact embedded</v>
      </c>
      <c r="F88" s="7"/>
      <c r="G88" s="8">
        <v>0</v>
      </c>
      <c r="H88" s="8">
        <v>0</v>
      </c>
      <c r="I88" s="8">
        <v>1</v>
      </c>
      <c r="J88" s="8">
        <v>0</v>
      </c>
      <c r="K88" s="9">
        <v>0</v>
      </c>
      <c r="L88" s="9">
        <v>1</v>
      </c>
      <c r="M88" s="9">
        <v>0</v>
      </c>
      <c r="N88" s="9">
        <v>0</v>
      </c>
      <c r="O88" s="10">
        <v>0</v>
      </c>
      <c r="P88" s="10">
        <v>0</v>
      </c>
      <c r="Q88" s="10">
        <v>0</v>
      </c>
      <c r="R88" s="10">
        <v>1</v>
      </c>
      <c r="S88" s="10">
        <v>0</v>
      </c>
    </row>
    <row r="89" spans="1:19" ht="409.5" customHeight="1" x14ac:dyDescent="0.2">
      <c r="A89" s="6" t="str">
        <f ca="1">IFERROR(__xludf.DUMMYFUNCTION("""COMPUTED_VALUE"""),"How do light and temperature affect photosynthesis in plants? - Version A")</f>
        <v>How do light and temperature affect photosynthesis in plants? - Version A</v>
      </c>
      <c r="B89" s="6" t="str">
        <f ca="1">IFERROR(__xludf.DUMMYFUNCTION("""COMPUTED_VALUE"""),"Application")</f>
        <v>Application</v>
      </c>
      <c r="C89" s="6" t="str">
        <f ca="1">IFERROR(__xludf.DUMMYFUNCTION("""COMPUTED_VALUE"""),"Conclusion Tool")</f>
        <v>Conclusion Tool</v>
      </c>
      <c r="D89" s="7" t="str">
        <f ca="1">IFERROR(__xludf.DUMMYFUNCTION("""COMPUTED_VALUE"""),"No task description")</f>
        <v>No task description</v>
      </c>
      <c r="E89"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89" s="7"/>
      <c r="G89" s="8">
        <v>0</v>
      </c>
      <c r="H89" s="8">
        <v>0</v>
      </c>
      <c r="I89" s="8">
        <v>1</v>
      </c>
      <c r="J89" s="8">
        <v>0</v>
      </c>
      <c r="K89" s="9">
        <v>0</v>
      </c>
      <c r="L89" s="9">
        <v>1</v>
      </c>
      <c r="M89" s="9">
        <v>0</v>
      </c>
      <c r="N89" s="9">
        <v>0</v>
      </c>
      <c r="O89" s="10">
        <v>0</v>
      </c>
      <c r="P89" s="10">
        <v>0</v>
      </c>
      <c r="Q89" s="10">
        <v>0</v>
      </c>
      <c r="R89" s="10">
        <v>1</v>
      </c>
      <c r="S89" s="10">
        <v>0</v>
      </c>
    </row>
    <row r="90" spans="1:19" ht="145" customHeight="1" x14ac:dyDescent="0.2">
      <c r="A90" s="6" t="str">
        <f ca="1">IFERROR(__xludf.DUMMYFUNCTION("""COMPUTED_VALUE"""),"How do light and temperature affect photosynthesis in plants? - Version A")</f>
        <v>How do light and temperature affect photosynthesis in plants? - Version A</v>
      </c>
      <c r="B90" s="6" t="str">
        <f ca="1">IFERROR(__xludf.DUMMYFUNCTION("""COMPUTED_VALUE"""),"Resource")</f>
        <v>Resource</v>
      </c>
      <c r="C90" s="6" t="str">
        <f ca="1">IFERROR(__xludf.DUMMYFUNCTION("""COMPUTED_VALUE"""),"tekst2.graasp")</f>
        <v>tekst2.graasp</v>
      </c>
      <c r="D90" s="7" t="str">
        <f ca="1">IFERROR(__xludf.DUMMYFUNCTION("""COMPUTED_VALUE"""),"&lt;p&gt;&lt;strong&gt;All done? Very good you have now finished with this assignment!&lt;/strong&gt;&lt;/p&gt;&lt;p&gt;&lt;strong&gt;&lt;br&gt;&lt;/strong&gt;&lt;/p&gt;&lt;p&gt;&lt;strong&gt;&lt;br&gt;&lt;/strong&gt;&lt;/p&gt;&lt;p&gt;&lt;strong&gt;&lt;br&gt;&lt;/strong&gt;&lt;/p&gt;")</f>
        <v>&lt;p&gt;&lt;strong&gt;All done? Very good you have now finished with this assignment!&lt;/strong&gt;&lt;/p&gt;&lt;p&gt;&lt;strong&gt;&lt;br&gt;&lt;/strong&gt;&lt;/p&gt;&lt;p&gt;&lt;strong&gt;&lt;br&gt;&lt;/strong&gt;&lt;/p&gt;&lt;p&gt;&lt;strong&gt;&lt;br&gt;&lt;/strong&gt;&lt;/p&gt;</v>
      </c>
      <c r="E90" s="7" t="str">
        <f ca="1">IFERROR(__xludf.DUMMYFUNCTION("""COMPUTED_VALUE"""),"No artifact embedded")</f>
        <v>No artifact embedded</v>
      </c>
      <c r="F90" s="7"/>
      <c r="G90" s="8">
        <v>0</v>
      </c>
      <c r="H90" s="8">
        <v>0</v>
      </c>
      <c r="I90" s="8">
        <v>0</v>
      </c>
      <c r="J90" s="8">
        <v>0</v>
      </c>
      <c r="K90" s="9">
        <v>0</v>
      </c>
      <c r="L90" s="9">
        <v>0</v>
      </c>
      <c r="M90" s="9">
        <v>0</v>
      </c>
      <c r="N90" s="9">
        <v>0</v>
      </c>
      <c r="O90" s="10">
        <v>0</v>
      </c>
      <c r="P90" s="10">
        <v>0</v>
      </c>
      <c r="Q90" s="10">
        <v>0</v>
      </c>
      <c r="R90" s="10">
        <v>0</v>
      </c>
      <c r="S90" s="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90"/>
  <sheetViews>
    <sheetView tabSelected="1" workbookViewId="0">
      <selection activeCell="F3" sqref="F3"/>
    </sheetView>
  </sheetViews>
  <sheetFormatPr baseColWidth="10" defaultRowHeight="16" x14ac:dyDescent="0.2"/>
  <cols>
    <col min="1" max="1" width="42.1640625" customWidth="1"/>
  </cols>
  <sheetData>
    <row r="1" spans="1:19" ht="83" customHeight="1" x14ac:dyDescent="0.2">
      <c r="A1" s="1" t="str">
        <f ca="1">IFERROR(__xludf.DUMMYFUNCTION("""COMPUTED_VALUE"""),"ils_title")</f>
        <v>ils_title</v>
      </c>
      <c r="B1" s="1" t="str">
        <f ca="1">IFERROR(__xludf.DUMMYFUNCTION("""COMPUTED_VALUE"""),"item_category")</f>
        <v>item_category</v>
      </c>
      <c r="C1" s="1" t="str">
        <f ca="1">IFERROR(__xludf.DUMMYFUNCTION("""COMPUTED_VALUE"""),"item_name")</f>
        <v>item_name</v>
      </c>
      <c r="D1" s="2" t="str">
        <f ca="1">IFERROR(__xludf.DUMMYFUNCTION("""COMPUTED_VALUE"""),"task_description")</f>
        <v>task_description</v>
      </c>
      <c r="E1" s="2" t="str">
        <f ca="1">IFERROR(__xludf.DUMMYFUNCTION("""COMPUTED_VALUE"""),"embedded_artifact_description")</f>
        <v>embedded_artifact_description</v>
      </c>
      <c r="F1" s="2" t="s">
        <v>42</v>
      </c>
      <c r="G1" s="3" t="s">
        <v>3</v>
      </c>
      <c r="H1" s="3" t="s">
        <v>6</v>
      </c>
      <c r="I1" s="3" t="s">
        <v>9</v>
      </c>
      <c r="J1" s="3" t="s">
        <v>12</v>
      </c>
      <c r="K1" s="4" t="s">
        <v>15</v>
      </c>
      <c r="L1" s="4" t="s">
        <v>18</v>
      </c>
      <c r="M1" s="4" t="s">
        <v>21</v>
      </c>
      <c r="N1" s="4" t="s">
        <v>24</v>
      </c>
      <c r="O1" s="5" t="s">
        <v>27</v>
      </c>
      <c r="P1" s="5" t="s">
        <v>30</v>
      </c>
      <c r="Q1" s="5" t="s">
        <v>33</v>
      </c>
      <c r="R1" s="5" t="s">
        <v>36</v>
      </c>
      <c r="S1" s="5" t="s">
        <v>39</v>
      </c>
    </row>
    <row r="2" spans="1:19" ht="25" customHeight="1" x14ac:dyDescent="0.2">
      <c r="A2" s="6" t="str">
        <f ca="1">IFERROR(__xludf.DUMMYFUNCTION("""COMPUTED_VALUE"""),"Hooke's Law")</f>
        <v>Hooke's Law</v>
      </c>
      <c r="B2" s="6" t="str">
        <f ca="1">IFERROR(__xludf.DUMMYFUNCTION("""COMPUTED_VALUE"""),"Space")</f>
        <v>Space</v>
      </c>
      <c r="C2" s="6" t="str">
        <f ca="1">IFERROR(__xludf.DUMMYFUNCTION("""COMPUTED_VALUE"""),"Engage")</f>
        <v>Engage</v>
      </c>
      <c r="D2" s="7" t="str">
        <f ca="1">IFERROR(__xludf.DUMMYFUNCTION("""COMPUTED_VALUE"""),"No task description")</f>
        <v>No task description</v>
      </c>
      <c r="E2" s="7" t="str">
        <f ca="1">IFERROR(__xludf.DUMMYFUNCTION("""COMPUTED_VALUE"""),"No artifact embedded")</f>
        <v>No artifact embedded</v>
      </c>
      <c r="F2" s="7"/>
      <c r="G2" s="8"/>
      <c r="H2" s="8"/>
      <c r="I2" s="8"/>
      <c r="J2" s="8"/>
      <c r="K2" s="9"/>
      <c r="L2" s="9"/>
      <c r="M2" s="9"/>
      <c r="N2" s="9"/>
      <c r="O2" s="10"/>
      <c r="P2" s="10"/>
      <c r="Q2" s="10"/>
      <c r="R2" s="10"/>
      <c r="S2" s="10"/>
    </row>
    <row r="3" spans="1:19" ht="274" customHeight="1" x14ac:dyDescent="0.2">
      <c r="A3" s="6" t="str">
        <f ca="1">IFERROR(__xludf.DUMMYFUNCTION("""COMPUTED_VALUE"""),"Hooke's Law")</f>
        <v>Hooke's Law</v>
      </c>
      <c r="B3" s="6" t="str">
        <f ca="1">IFERROR(__xludf.DUMMYFUNCTION("""COMPUTED_VALUE"""),"Resource")</f>
        <v>Resource</v>
      </c>
      <c r="C3" s="6" t="str">
        <f ca="1">IFERROR(__xludf.DUMMYFUNCTION("""COMPUTED_VALUE"""),"Engage.graasp")</f>
        <v>Engage.graasp</v>
      </c>
      <c r="D3" s="7" t="str">
        <f ca="1">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v>
      </c>
      <c r="E3" s="7" t="str">
        <f ca="1">IFERROR(__xludf.DUMMYFUNCTION("""COMPUTED_VALUE"""),"No artifact embedded")</f>
        <v>No artifact embedded</v>
      </c>
      <c r="F3" s="7"/>
      <c r="G3" s="8"/>
      <c r="H3" s="8"/>
      <c r="I3" s="8"/>
      <c r="J3" s="8"/>
      <c r="K3" s="9"/>
      <c r="L3" s="9"/>
      <c r="M3" s="9"/>
      <c r="N3" s="9"/>
      <c r="O3" s="10"/>
      <c r="P3" s="10"/>
      <c r="Q3" s="10"/>
      <c r="R3" s="10"/>
      <c r="S3" s="10"/>
    </row>
    <row r="4" spans="1:19" ht="109" customHeight="1" x14ac:dyDescent="0.2">
      <c r="A4" s="6" t="str">
        <f ca="1">IFERROR(__xludf.DUMMYFUNCTION("""COMPUTED_VALUE"""),"Hooke's Law")</f>
        <v>Hooke's Law</v>
      </c>
      <c r="B4" s="6" t="str">
        <f ca="1">IFERROR(__xludf.DUMMYFUNCTION("""COMPUTED_VALUE"""),"Resource")</f>
        <v>Resource</v>
      </c>
      <c r="C4" s="6" t="str">
        <f ca="1">IFERROR(__xludf.DUMMYFUNCTION("""COMPUTED_VALUE"""),"Springs.jpg")</f>
        <v>Springs.jpg</v>
      </c>
      <c r="D4" s="7" t="str">
        <f ca="1">IFERROR(__xludf.DUMMYFUNCTION("""COMPUTED_VALUE"""),"No task description")</f>
        <v>No task description</v>
      </c>
      <c r="E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4" s="7"/>
      <c r="G4" s="8"/>
      <c r="H4" s="8"/>
      <c r="I4" s="8"/>
      <c r="J4" s="8"/>
      <c r="K4" s="9"/>
      <c r="L4" s="9"/>
      <c r="M4" s="9"/>
      <c r="N4" s="9"/>
      <c r="O4" s="10"/>
      <c r="P4" s="10"/>
      <c r="Q4" s="10"/>
      <c r="R4" s="10"/>
      <c r="S4" s="10"/>
    </row>
    <row r="5" spans="1:19" ht="318" customHeight="1" x14ac:dyDescent="0.2">
      <c r="A5" s="6" t="str">
        <f ca="1">IFERROR(__xludf.DUMMYFUNCTION("""COMPUTED_VALUE"""),"Hooke's Law")</f>
        <v>Hooke's Law</v>
      </c>
      <c r="B5" s="6" t="str">
        <f ca="1">IFERROR(__xludf.DUMMYFUNCTION("""COMPUTED_VALUE"""),"Application")</f>
        <v>Application</v>
      </c>
      <c r="C5" s="6" t="str">
        <f ca="1">IFERROR(__xludf.DUMMYFUNCTION("""COMPUTED_VALUE"""),"Input Box")</f>
        <v>Input Box</v>
      </c>
      <c r="D5" s="7" t="str">
        <f ca="1">IFERROR(__xludf.DUMMYFUNCTION("""COMPUTED_VALUE"""),"No task description")</f>
        <v>No task description</v>
      </c>
      <c r="E5"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5" s="7"/>
      <c r="G5" s="8"/>
      <c r="H5" s="8"/>
      <c r="I5" s="8"/>
      <c r="J5" s="8"/>
      <c r="K5" s="9"/>
      <c r="L5" s="9"/>
      <c r="M5" s="9"/>
      <c r="N5" s="9"/>
      <c r="O5" s="10"/>
      <c r="P5" s="10"/>
      <c r="Q5" s="10"/>
      <c r="R5" s="10"/>
      <c r="S5" s="10"/>
    </row>
    <row r="6" spans="1:19" ht="73" customHeight="1" x14ac:dyDescent="0.2">
      <c r="A6" s="6" t="str">
        <f ca="1">IFERROR(__xludf.DUMMYFUNCTION("""COMPUTED_VALUE"""),"Hooke's Law")</f>
        <v>Hooke's Law</v>
      </c>
      <c r="B6" s="6" t="str">
        <f ca="1">IFERROR(__xludf.DUMMYFUNCTION("""COMPUTED_VALUE"""),"Application")</f>
        <v>Application</v>
      </c>
      <c r="C6" s="6" t="str">
        <f ca="1">IFERROR(__xludf.DUMMYFUNCTION("""COMPUTED_VALUE"""),"Teacher Feedback")</f>
        <v>Teacher Feedback</v>
      </c>
      <c r="D6" s="7" t="str">
        <f ca="1">IFERROR(__xludf.DUMMYFUNCTION("""COMPUTED_VALUE"""),"No task description")</f>
        <v>No task description</v>
      </c>
      <c r="E6" s="7" t="str">
        <f ca="1">IFERROR(__xludf.DUMMYFUNCTION("""COMPUTED_VALUE"""),"Golabz app/lab: ""&lt;p&gt;A tool where teachers can provide feedback to students&lt;/p&gt;\r\n""")</f>
        <v>Golabz app/lab: "&lt;p&gt;A tool where teachers can provide feedback to students&lt;/p&gt;\r\n"</v>
      </c>
      <c r="F6" s="7"/>
      <c r="G6" s="8"/>
      <c r="H6" s="8"/>
      <c r="I6" s="8"/>
      <c r="J6" s="8"/>
      <c r="K6" s="9"/>
      <c r="L6" s="9"/>
      <c r="M6" s="9"/>
      <c r="N6" s="9"/>
      <c r="O6" s="10"/>
      <c r="P6" s="10"/>
      <c r="Q6" s="10"/>
      <c r="R6" s="10"/>
      <c r="S6" s="10"/>
    </row>
    <row r="7" spans="1:19" ht="37" customHeight="1" x14ac:dyDescent="0.2">
      <c r="A7" s="6" t="str">
        <f ca="1">IFERROR(__xludf.DUMMYFUNCTION("""COMPUTED_VALUE"""),"Hooke's Law")</f>
        <v>Hooke's Law</v>
      </c>
      <c r="B7" s="6" t="str">
        <f ca="1">IFERROR(__xludf.DUMMYFUNCTION("""COMPUTED_VALUE"""),"Resource")</f>
        <v>Resource</v>
      </c>
      <c r="C7" s="6" t="str">
        <f ca="1">IFERROR(__xludf.DUMMYFUNCTION("""COMPUTED_VALUE"""),"Elephant on trampoline.graasp")</f>
        <v>Elephant on trampoline.graasp</v>
      </c>
      <c r="D7" s="7" t="str">
        <f ca="1">IFERROR(__xludf.DUMMYFUNCTION("""COMPUTED_VALUE"""),"&lt;p&gt;Observe the following video.&lt;/p&gt;")</f>
        <v>&lt;p&gt;Observe the following video.&lt;/p&gt;</v>
      </c>
      <c r="E7" s="7" t="str">
        <f ca="1">IFERROR(__xludf.DUMMYFUNCTION("""COMPUTED_VALUE"""),"No artifact embedded")</f>
        <v>No artifact embedded</v>
      </c>
      <c r="F7" s="7"/>
      <c r="G7" s="8"/>
      <c r="H7" s="8"/>
      <c r="I7" s="8"/>
      <c r="J7" s="8"/>
      <c r="K7" s="9"/>
      <c r="L7" s="9"/>
      <c r="M7" s="9"/>
      <c r="N7" s="9"/>
      <c r="O7" s="10"/>
      <c r="P7" s="10"/>
      <c r="Q7" s="10"/>
      <c r="R7" s="10"/>
      <c r="S7" s="10"/>
    </row>
    <row r="8" spans="1:19" ht="109" customHeight="1" x14ac:dyDescent="0.2">
      <c r="A8" s="6" t="str">
        <f ca="1">IFERROR(__xludf.DUMMYFUNCTION("""COMPUTED_VALUE"""),"Hooke's Law")</f>
        <v>Hooke's Law</v>
      </c>
      <c r="B8" s="6" t="str">
        <f ca="1">IFERROR(__xludf.DUMMYFUNCTION("""COMPUTED_VALUE"""),"Resource")</f>
        <v>Resource</v>
      </c>
      <c r="C8" s="6" t="str">
        <f ca="1">IFERROR(__xludf.DUMMYFUNCTION("""COMPUTED_VALUE"""),"Elephant on a trampoline.mp4")</f>
        <v>Elephant on a trampoline.mp4</v>
      </c>
      <c r="D8" s="7" t="str">
        <f ca="1">IFERROR(__xludf.DUMMYFUNCTION("""COMPUTED_VALUE"""),"No task description")</f>
        <v>No task description</v>
      </c>
      <c r="E8"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8" s="7"/>
      <c r="G8" s="8"/>
      <c r="H8" s="8"/>
      <c r="I8" s="8"/>
      <c r="J8" s="8"/>
      <c r="K8" s="9"/>
      <c r="L8" s="9"/>
      <c r="M8" s="9"/>
      <c r="N8" s="9"/>
      <c r="O8" s="10"/>
      <c r="P8" s="10"/>
      <c r="Q8" s="10"/>
      <c r="R8" s="10"/>
      <c r="S8" s="10"/>
    </row>
    <row r="9" spans="1:19" ht="318" customHeight="1" x14ac:dyDescent="0.2">
      <c r="A9" s="6" t="str">
        <f ca="1">IFERROR(__xludf.DUMMYFUNCTION("""COMPUTED_VALUE"""),"Hooke's Law")</f>
        <v>Hooke's Law</v>
      </c>
      <c r="B9" s="6" t="str">
        <f ca="1">IFERROR(__xludf.DUMMYFUNCTION("""COMPUTED_VALUE"""),"Application")</f>
        <v>Application</v>
      </c>
      <c r="C9" s="6" t="str">
        <f ca="1">IFERROR(__xludf.DUMMYFUNCTION("""COMPUTED_VALUE"""),"Input Box (1)")</f>
        <v>Input Box (1)</v>
      </c>
      <c r="D9" s="7" t="str">
        <f ca="1">IFERROR(__xludf.DUMMYFUNCTION("""COMPUTED_VALUE"""),"No task description")</f>
        <v>No task description</v>
      </c>
      <c r="E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 s="7"/>
      <c r="G9" s="8"/>
      <c r="H9" s="8"/>
      <c r="I9" s="8"/>
      <c r="J9" s="8"/>
      <c r="K9" s="9"/>
      <c r="L9" s="9"/>
      <c r="M9" s="9"/>
      <c r="N9" s="9"/>
      <c r="O9" s="10"/>
      <c r="P9" s="10"/>
      <c r="Q9" s="10"/>
      <c r="R9" s="10"/>
      <c r="S9" s="10"/>
    </row>
    <row r="10" spans="1:19" ht="73" customHeight="1" x14ac:dyDescent="0.2">
      <c r="A10" s="6" t="str">
        <f ca="1">IFERROR(__xludf.DUMMYFUNCTION("""COMPUTED_VALUE"""),"Hooke's Law")</f>
        <v>Hooke's Law</v>
      </c>
      <c r="B10" s="6" t="str">
        <f ca="1">IFERROR(__xludf.DUMMYFUNCTION("""COMPUTED_VALUE"""),"Application")</f>
        <v>Application</v>
      </c>
      <c r="C10" s="6" t="str">
        <f ca="1">IFERROR(__xludf.DUMMYFUNCTION("""COMPUTED_VALUE"""),"Teacher Feedback (1)")</f>
        <v>Teacher Feedback (1)</v>
      </c>
      <c r="D10" s="7" t="str">
        <f ca="1">IFERROR(__xludf.DUMMYFUNCTION("""COMPUTED_VALUE"""),"No task description")</f>
        <v>No task description</v>
      </c>
      <c r="E10" s="7" t="str">
        <f ca="1">IFERROR(__xludf.DUMMYFUNCTION("""COMPUTED_VALUE"""),"Golabz app/lab: ""&lt;p&gt;A tool where teachers can provide feedback to students&lt;/p&gt;\r\n""")</f>
        <v>Golabz app/lab: "&lt;p&gt;A tool where teachers can provide feedback to students&lt;/p&gt;\r\n"</v>
      </c>
      <c r="F10" s="7"/>
      <c r="G10" s="8"/>
      <c r="H10" s="8"/>
      <c r="I10" s="8"/>
      <c r="J10" s="8"/>
      <c r="K10" s="9"/>
      <c r="L10" s="9"/>
      <c r="M10" s="9"/>
      <c r="N10" s="9"/>
      <c r="O10" s="10"/>
      <c r="P10" s="10"/>
      <c r="Q10" s="10"/>
      <c r="R10" s="10"/>
      <c r="S10" s="10"/>
    </row>
    <row r="11" spans="1:19" ht="25" customHeight="1" x14ac:dyDescent="0.2">
      <c r="A11" s="6" t="str">
        <f ca="1">IFERROR(__xludf.DUMMYFUNCTION("""COMPUTED_VALUE"""),"Hooke's Law")</f>
        <v>Hooke's Law</v>
      </c>
      <c r="B11" s="6" t="str">
        <f ca="1">IFERROR(__xludf.DUMMYFUNCTION("""COMPUTED_VALUE"""),"Resource")</f>
        <v>Resource</v>
      </c>
      <c r="C11" s="6" t="str">
        <f ca="1">IFERROR(__xludf.DUMMYFUNCTION("""COMPUTED_VALUE"""),"to proceed.graasp")</f>
        <v>to proceed.graasp</v>
      </c>
      <c r="D11" s="7" t="str">
        <f ca="1">IFERROR(__xludf.DUMMYFUNCTION("""COMPUTED_VALUE"""),"&lt;p&gt;Click Explore to proceed&lt;/p&gt;")</f>
        <v>&lt;p&gt;Click Explore to proceed&lt;/p&gt;</v>
      </c>
      <c r="E11" s="7" t="str">
        <f ca="1">IFERROR(__xludf.DUMMYFUNCTION("""COMPUTED_VALUE"""),"No artifact embedded")</f>
        <v>No artifact embedded</v>
      </c>
      <c r="F11" s="7"/>
      <c r="G11" s="8"/>
      <c r="H11" s="8"/>
      <c r="I11" s="8"/>
      <c r="J11" s="8"/>
      <c r="K11" s="9"/>
      <c r="L11" s="9"/>
      <c r="M11" s="9"/>
      <c r="N11" s="9"/>
      <c r="O11" s="10"/>
      <c r="P11" s="10"/>
      <c r="Q11" s="10"/>
      <c r="R11" s="10"/>
      <c r="S11" s="10"/>
    </row>
    <row r="12" spans="1:19" ht="229" customHeight="1" x14ac:dyDescent="0.2">
      <c r="A12" s="6" t="str">
        <f ca="1">IFERROR(__xludf.DUMMYFUNCTION("""COMPUTED_VALUE"""),"Hooke's Law")</f>
        <v>Hooke's Law</v>
      </c>
      <c r="B12" s="6" t="str">
        <f ca="1">IFERROR(__xludf.DUMMYFUNCTION("""COMPUTED_VALUE"""),"Space")</f>
        <v>Space</v>
      </c>
      <c r="C12" s="6" t="str">
        <f ca="1">IFERROR(__xludf.DUMMYFUNCTION("""COMPUTED_VALUE"""),"Explore")</f>
        <v>Explore</v>
      </c>
      <c r="D12" s="7" t="str">
        <f ca="1">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&lt;p&gt;Read the instructions given then click 'got it' to proceed.&lt;/p&gt;&lt;p&gt;Note: For the purpose of this experiment, mass has been used in place of weight. It is ok since weight of a body is proportional to its mass. Would you need to convert however, take W = mg where g = 10N/kg&lt;/p&gt;</v>
      </c>
      <c r="E12" s="7" t="str">
        <f ca="1">IFERROR(__xludf.DUMMYFUNCTION("""COMPUTED_VALUE"""),"No artifact embedded")</f>
        <v>No artifact embedded</v>
      </c>
      <c r="F12" s="7"/>
      <c r="G12" s="8"/>
      <c r="H12" s="8"/>
      <c r="I12" s="8"/>
      <c r="J12" s="8"/>
      <c r="K12" s="9"/>
      <c r="L12" s="9"/>
      <c r="M12" s="9"/>
      <c r="N12" s="9"/>
      <c r="O12" s="10"/>
      <c r="P12" s="10"/>
      <c r="Q12" s="10"/>
      <c r="R12" s="10"/>
      <c r="S12" s="10"/>
    </row>
    <row r="13" spans="1:19" ht="121" customHeight="1" x14ac:dyDescent="0.2">
      <c r="A13" s="6" t="str">
        <f ca="1">IFERROR(__xludf.DUMMYFUNCTION("""COMPUTED_VALUE"""),"Hooke's Law")</f>
        <v>Hooke's Law</v>
      </c>
      <c r="B13" s="6" t="str">
        <f ca="1">IFERROR(__xludf.DUMMYFUNCTION("""COMPUTED_VALUE"""),"Application")</f>
        <v>Application</v>
      </c>
      <c r="C13" s="6" t="str">
        <f ca="1">IFERROR(__xludf.DUMMYFUNCTION("""COMPUTED_VALUE"""),"Verification of Hooke's Law")</f>
        <v>Verification of Hooke's Law</v>
      </c>
      <c r="D13" s="7" t="str">
        <f ca="1">IFERROR(__xludf.DUMMYFUNCTION("""COMPUTED_VALUE"""),"No task description")</f>
        <v>No task description</v>
      </c>
      <c r="E13" s="7" t="str">
        <f ca="1">IFERROR(__xludf.DUMMYFUNCTION("""COMPUTED_VALUE"""),"Golabz app/lab: ""&lt;p&gt;&amp;nbsp;&lt;/p&gt;\r\n\r\n&lt;p&gt;This lab allows student to experiment with different weights for the same spring to check Hooke's law.&lt;/p&gt;\r\n""")</f>
        <v>Golabz app/lab: "&lt;p&gt;&amp;nbsp;&lt;/p&gt;\r\n\r\n&lt;p&gt;This lab allows student to experiment with different weights for the same spring to check Hooke's law.&lt;/p&gt;\r\n"</v>
      </c>
      <c r="F13" s="7"/>
      <c r="G13" s="8"/>
      <c r="H13" s="8"/>
      <c r="I13" s="8"/>
      <c r="J13" s="8"/>
      <c r="K13" s="9"/>
      <c r="L13" s="9"/>
      <c r="M13" s="9"/>
      <c r="N13" s="9"/>
      <c r="O13" s="10"/>
      <c r="P13" s="10"/>
      <c r="Q13" s="10"/>
      <c r="R13" s="10"/>
      <c r="S13" s="10"/>
    </row>
    <row r="14" spans="1:19" ht="49" customHeight="1" x14ac:dyDescent="0.2">
      <c r="A14" s="6" t="str">
        <f ca="1">IFERROR(__xludf.DUMMYFUNCTION("""COMPUTED_VALUE"""),"Hooke's Law")</f>
        <v>Hooke's Law</v>
      </c>
      <c r="B14" s="6" t="str">
        <f ca="1">IFERROR(__xludf.DUMMYFUNCTION("""COMPUTED_VALUE"""),"Resource")</f>
        <v>Resource</v>
      </c>
      <c r="C14" s="6" t="str">
        <f ca="1">IFERROR(__xludf.DUMMYFUNCTION("""COMPUTED_VALUE"""),"to proceed.graasp")</f>
        <v>to proceed.graasp</v>
      </c>
      <c r="D14" s="7" t="str">
        <f ca="1">IFERROR(__xludf.DUMMYFUNCTION("""COMPUTED_VALUE"""),"&lt;p&gt;Once through, click on Explain to proceed&lt;/p&gt;")</f>
        <v>&lt;p&gt;Once through, click on Explain to proceed&lt;/p&gt;</v>
      </c>
      <c r="E14" s="7" t="str">
        <f ca="1">IFERROR(__xludf.DUMMYFUNCTION("""COMPUTED_VALUE"""),"No artifact embedded")</f>
        <v>No artifact embedded</v>
      </c>
      <c r="F14" s="7"/>
      <c r="G14" s="8"/>
      <c r="H14" s="8"/>
      <c r="I14" s="8"/>
      <c r="J14" s="8"/>
      <c r="K14" s="9"/>
      <c r="L14" s="9"/>
      <c r="M14" s="9"/>
      <c r="N14" s="9"/>
      <c r="O14" s="10"/>
      <c r="P14" s="10"/>
      <c r="Q14" s="10"/>
      <c r="R14" s="10"/>
      <c r="S14" s="10"/>
    </row>
    <row r="15" spans="1:19" ht="25" customHeight="1" x14ac:dyDescent="0.2">
      <c r="A15" s="6" t="str">
        <f ca="1">IFERROR(__xludf.DUMMYFUNCTION("""COMPUTED_VALUE"""),"Hooke's Law")</f>
        <v>Hooke's Law</v>
      </c>
      <c r="B15" s="6" t="str">
        <f ca="1">IFERROR(__xludf.DUMMYFUNCTION("""COMPUTED_VALUE"""),"Space")</f>
        <v>Space</v>
      </c>
      <c r="C15" s="6" t="str">
        <f ca="1">IFERROR(__xludf.DUMMYFUNCTION("""COMPUTED_VALUE"""),"Explain")</f>
        <v>Explain</v>
      </c>
      <c r="D15" s="7" t="str">
        <f ca="1">IFERROR(__xludf.DUMMYFUNCTION("""COMPUTED_VALUE"""),"No task description")</f>
        <v>No task description</v>
      </c>
      <c r="E15" s="7" t="str">
        <f ca="1">IFERROR(__xludf.DUMMYFUNCTION("""COMPUTED_VALUE"""),"No artifact embedded")</f>
        <v>No artifact embedded</v>
      </c>
      <c r="F15" s="7"/>
      <c r="G15" s="8"/>
      <c r="H15" s="8"/>
      <c r="I15" s="8"/>
      <c r="J15" s="8"/>
      <c r="K15" s="9"/>
      <c r="L15" s="9"/>
      <c r="M15" s="9"/>
      <c r="N15" s="9"/>
      <c r="O15" s="10"/>
      <c r="P15" s="10"/>
      <c r="Q15" s="10"/>
      <c r="R15" s="10"/>
      <c r="S15" s="10"/>
    </row>
    <row r="16" spans="1:19" ht="409.5" customHeight="1" x14ac:dyDescent="0.2">
      <c r="A16" s="6" t="str">
        <f ca="1">IFERROR(__xludf.DUMMYFUNCTION("""COMPUTED_VALUE"""),"Hooke's Law")</f>
        <v>Hooke's Law</v>
      </c>
      <c r="B16" s="6" t="str">
        <f ca="1">IFERROR(__xludf.DUMMYFUNCTION("""COMPUTED_VALUE"""),"Application")</f>
        <v>Application</v>
      </c>
      <c r="C16" s="6" t="str">
        <f ca="1">IFERROR(__xludf.DUMMYFUNCTION("""COMPUTED_VALUE"""),"Hypothesis Scratchpad")</f>
        <v>Hypothesis Scratchpad</v>
      </c>
      <c r="D16" s="7" t="str">
        <f ca="1">IFERROR(__xludf.DUMMYFUNCTION("""COMPUTED_VALUE"""),"No task description")</f>
        <v>No task description</v>
      </c>
      <c r="E16"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16" s="7"/>
      <c r="G16" s="8"/>
      <c r="H16" s="8"/>
      <c r="I16" s="8"/>
      <c r="J16" s="8"/>
      <c r="K16" s="9"/>
      <c r="L16" s="9"/>
      <c r="M16" s="9"/>
      <c r="N16" s="9"/>
      <c r="O16" s="10"/>
      <c r="P16" s="10"/>
      <c r="Q16" s="10"/>
      <c r="R16" s="10"/>
      <c r="S16" s="10"/>
    </row>
    <row r="17" spans="1:19" ht="85" customHeight="1" x14ac:dyDescent="0.2">
      <c r="A17" s="6" t="str">
        <f ca="1">IFERROR(__xludf.DUMMYFUNCTION("""COMPUTED_VALUE"""),"Hooke's Law")</f>
        <v>Hooke's Law</v>
      </c>
      <c r="B17" s="6" t="str">
        <f ca="1">IFERROR(__xludf.DUMMYFUNCTION("""COMPUTED_VALUE"""),"Resource")</f>
        <v>Resource</v>
      </c>
      <c r="C17" s="6" t="str">
        <f ca="1">IFERROR(__xludf.DUMMYFUNCTION("""COMPUTED_VALUE"""),"Explain.graasp")</f>
        <v>Explain.graasp</v>
      </c>
      <c r="D17" s="7" t="str">
        <f ca="1">IFERROR(__xludf.DUMMYFUNCTION("""COMPUTED_VALUE"""),"&lt;p&gt;What happens to the extension when force on the spring increases?&lt;/p&gt;&lt;p&gt;&lt;br&gt;&lt;br&gt;&lt;/p&gt;")</f>
        <v>&lt;p&gt;What happens to the extension when force on the spring increases?&lt;/p&gt;&lt;p&gt;&lt;br&gt;&lt;br&gt;&lt;/p&gt;</v>
      </c>
      <c r="E17" s="7" t="str">
        <f ca="1">IFERROR(__xludf.DUMMYFUNCTION("""COMPUTED_VALUE"""),"No artifact embedded")</f>
        <v>No artifact embedded</v>
      </c>
      <c r="F17" s="7"/>
      <c r="G17" s="8"/>
      <c r="H17" s="8"/>
      <c r="I17" s="8"/>
      <c r="J17" s="8"/>
      <c r="K17" s="9"/>
      <c r="L17" s="9"/>
      <c r="M17" s="9"/>
      <c r="N17" s="9"/>
      <c r="O17" s="10"/>
      <c r="P17" s="10"/>
      <c r="Q17" s="10"/>
      <c r="R17" s="10"/>
      <c r="S17" s="10"/>
    </row>
    <row r="18" spans="1:19" ht="318" customHeight="1" x14ac:dyDescent="0.2">
      <c r="A18" s="6" t="str">
        <f ca="1">IFERROR(__xludf.DUMMYFUNCTION("""COMPUTED_VALUE"""),"Hooke's Law")</f>
        <v>Hooke's Law</v>
      </c>
      <c r="B18" s="6" t="str">
        <f ca="1">IFERROR(__xludf.DUMMYFUNCTION("""COMPUTED_VALUE"""),"Application")</f>
        <v>Application</v>
      </c>
      <c r="C18" s="6" t="str">
        <f ca="1">IFERROR(__xludf.DUMMYFUNCTION("""COMPUTED_VALUE"""),"Input Box")</f>
        <v>Input Box</v>
      </c>
      <c r="D18" s="7" t="str">
        <f ca="1">IFERROR(__xludf.DUMMYFUNCTION("""COMPUTED_VALUE"""),"No task description")</f>
        <v>No task description</v>
      </c>
      <c r="E1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8" s="7"/>
      <c r="G18" s="8"/>
      <c r="H18" s="8"/>
      <c r="I18" s="8"/>
      <c r="J18" s="8"/>
      <c r="K18" s="9"/>
      <c r="L18" s="9"/>
      <c r="M18" s="9"/>
      <c r="N18" s="9"/>
      <c r="O18" s="10"/>
      <c r="P18" s="10"/>
      <c r="Q18" s="10"/>
      <c r="R18" s="10"/>
      <c r="S18" s="10"/>
    </row>
    <row r="19" spans="1:19" ht="121" customHeight="1" x14ac:dyDescent="0.2">
      <c r="A19" s="6" t="str">
        <f ca="1">IFERROR(__xludf.DUMMYFUNCTION("""COMPUTED_VALUE"""),"Hooke's Law")</f>
        <v>Hooke's Law</v>
      </c>
      <c r="B19" s="6" t="str">
        <f ca="1">IFERROR(__xludf.DUMMYFUNCTION("""COMPUTED_VALUE"""),"Resource")</f>
        <v>Resource</v>
      </c>
      <c r="C19" s="6" t="str">
        <f ca="1">IFERROR(__xludf.DUMMYFUNCTION("""COMPUTED_VALUE"""),"explain 2.graasp")</f>
        <v>explain 2.graasp</v>
      </c>
      <c r="D19" s="7" t="str">
        <f ca="1">IFERROR(__xludf.DUMMYFUNCTION("""COMPUTED_VALUE"""),"&lt;p&gt;What do you think is the relationship between the applied forces (weight of suspended mass) to the extensions on the spring?&lt;/p&gt;")</f>
        <v>&lt;p&gt;What do you think is the relationship between the applied forces (weight of suspended mass) to the extensions on the spring?&lt;/p&gt;</v>
      </c>
      <c r="E19" s="7" t="str">
        <f ca="1">IFERROR(__xludf.DUMMYFUNCTION("""COMPUTED_VALUE"""),"No artifact embedded")</f>
        <v>No artifact embedded</v>
      </c>
      <c r="F19" s="7"/>
      <c r="G19" s="8"/>
      <c r="H19" s="8"/>
      <c r="I19" s="8"/>
      <c r="J19" s="8"/>
      <c r="K19" s="9"/>
      <c r="L19" s="9"/>
      <c r="M19" s="9"/>
      <c r="N19" s="9"/>
      <c r="O19" s="10"/>
      <c r="P19" s="10"/>
      <c r="Q19" s="10"/>
      <c r="R19" s="10"/>
      <c r="S19" s="10"/>
    </row>
    <row r="20" spans="1:19" ht="318" customHeight="1" x14ac:dyDescent="0.2">
      <c r="A20" s="6" t="str">
        <f ca="1">IFERROR(__xludf.DUMMYFUNCTION("""COMPUTED_VALUE"""),"Hooke's Law")</f>
        <v>Hooke's Law</v>
      </c>
      <c r="B20" s="6" t="str">
        <f ca="1">IFERROR(__xludf.DUMMYFUNCTION("""COMPUTED_VALUE"""),"Application")</f>
        <v>Application</v>
      </c>
      <c r="C20" s="6" t="str">
        <f ca="1">IFERROR(__xludf.DUMMYFUNCTION("""COMPUTED_VALUE"""),"Input Box (1)")</f>
        <v>Input Box (1)</v>
      </c>
      <c r="D20" s="7" t="str">
        <f ca="1">IFERROR(__xludf.DUMMYFUNCTION("""COMPUTED_VALUE"""),"No task description")</f>
        <v>No task description</v>
      </c>
      <c r="E2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0" s="7"/>
      <c r="G20" s="8"/>
      <c r="H20" s="8"/>
      <c r="I20" s="8"/>
      <c r="J20" s="8"/>
      <c r="K20" s="9"/>
      <c r="L20" s="9"/>
      <c r="M20" s="9"/>
      <c r="N20" s="9"/>
      <c r="O20" s="10"/>
      <c r="P20" s="10"/>
      <c r="Q20" s="10"/>
      <c r="R20" s="10"/>
      <c r="S20" s="10"/>
    </row>
    <row r="21" spans="1:19" ht="85" customHeight="1" x14ac:dyDescent="0.2">
      <c r="A21" s="6" t="str">
        <f ca="1">IFERROR(__xludf.DUMMYFUNCTION("""COMPUTED_VALUE"""),"Hooke's Law")</f>
        <v>Hooke's Law</v>
      </c>
      <c r="B21" s="6" t="str">
        <f ca="1">IFERROR(__xludf.DUMMYFUNCTION("""COMPUTED_VALUE"""),"Resource")</f>
        <v>Resource</v>
      </c>
      <c r="C21" s="6" t="str">
        <f ca="1">IFERROR(__xludf.DUMMYFUNCTION("""COMPUTED_VALUE"""),"explain 3.graasp")</f>
        <v>explain 3.graasp</v>
      </c>
      <c r="D21" s="7" t="str">
        <f ca="1">IFERROR(__xludf.DUMMYFUNCTION("""COMPUTED_VALUE"""),"&lt;p&gt;Is the measure of extension on the spring the same when loading the masses as when offloading?&lt;/p&gt;")</f>
        <v>&lt;p&gt;Is the measure of extension on the spring the same when loading the masses as when offloading?&lt;/p&gt;</v>
      </c>
      <c r="E21" s="7" t="str">
        <f ca="1">IFERROR(__xludf.DUMMYFUNCTION("""COMPUTED_VALUE"""),"No artifact embedded")</f>
        <v>No artifact embedded</v>
      </c>
      <c r="F21" s="7"/>
      <c r="G21" s="8"/>
      <c r="H21" s="8"/>
      <c r="I21" s="8"/>
      <c r="J21" s="8"/>
      <c r="K21" s="9"/>
      <c r="L21" s="9"/>
      <c r="M21" s="9"/>
      <c r="N21" s="9"/>
      <c r="O21" s="10"/>
      <c r="P21" s="10"/>
      <c r="Q21" s="10"/>
      <c r="R21" s="10"/>
      <c r="S21" s="10"/>
    </row>
    <row r="22" spans="1:19" ht="318" customHeight="1" x14ac:dyDescent="0.2">
      <c r="A22" s="6" t="str">
        <f ca="1">IFERROR(__xludf.DUMMYFUNCTION("""COMPUTED_VALUE"""),"Hooke's Law")</f>
        <v>Hooke's Law</v>
      </c>
      <c r="B22" s="6" t="str">
        <f ca="1">IFERROR(__xludf.DUMMYFUNCTION("""COMPUTED_VALUE"""),"Application")</f>
        <v>Application</v>
      </c>
      <c r="C22" s="6" t="str">
        <f ca="1">IFERROR(__xludf.DUMMYFUNCTION("""COMPUTED_VALUE"""),"Input Box (2)")</f>
        <v>Input Box (2)</v>
      </c>
      <c r="D22" s="7" t="str">
        <f ca="1">IFERROR(__xludf.DUMMYFUNCTION("""COMPUTED_VALUE"""),"No task description")</f>
        <v>No task description</v>
      </c>
      <c r="E2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2" s="7"/>
      <c r="G22" s="8"/>
      <c r="H22" s="8"/>
      <c r="I22" s="8"/>
      <c r="J22" s="8"/>
      <c r="K22" s="9"/>
      <c r="L22" s="9"/>
      <c r="M22" s="9"/>
      <c r="N22" s="9"/>
      <c r="O22" s="10"/>
      <c r="P22" s="10"/>
      <c r="Q22" s="10"/>
      <c r="R22" s="10"/>
      <c r="S22" s="10"/>
    </row>
    <row r="23" spans="1:19" ht="37" customHeight="1" x14ac:dyDescent="0.2">
      <c r="A23" s="6" t="str">
        <f ca="1">IFERROR(__xludf.DUMMYFUNCTION("""COMPUTED_VALUE"""),"Hooke's Law")</f>
        <v>Hooke's Law</v>
      </c>
      <c r="B23" s="6" t="str">
        <f ca="1">IFERROR(__xludf.DUMMYFUNCTION("""COMPUTED_VALUE"""),"Resource")</f>
        <v>Resource</v>
      </c>
      <c r="C23" s="6" t="str">
        <f ca="1">IFERROR(__xludf.DUMMYFUNCTION("""COMPUTED_VALUE"""),"to proceed.graasp")</f>
        <v>to proceed.graasp</v>
      </c>
      <c r="D23" s="7" t="str">
        <f ca="1">IFERROR(__xludf.DUMMYFUNCTION("""COMPUTED_VALUE"""),"&lt;p&gt;Click on Elaborate to continue&lt;/p&gt;")</f>
        <v>&lt;p&gt;Click on Elaborate to continue&lt;/p&gt;</v>
      </c>
      <c r="E23" s="7" t="str">
        <f ca="1">IFERROR(__xludf.DUMMYFUNCTION("""COMPUTED_VALUE"""),"No artifact embedded")</f>
        <v>No artifact embedded</v>
      </c>
      <c r="F23" s="7"/>
      <c r="G23" s="8"/>
      <c r="H23" s="8"/>
      <c r="I23" s="8"/>
      <c r="J23" s="8"/>
      <c r="K23" s="9"/>
      <c r="L23" s="9"/>
      <c r="M23" s="9"/>
      <c r="N23" s="9"/>
      <c r="O23" s="10"/>
      <c r="P23" s="10"/>
      <c r="Q23" s="10"/>
      <c r="R23" s="10"/>
      <c r="S23" s="10"/>
    </row>
    <row r="24" spans="1:19" ht="25" customHeight="1" x14ac:dyDescent="0.2">
      <c r="A24" s="6" t="str">
        <f ca="1">IFERROR(__xludf.DUMMYFUNCTION("""COMPUTED_VALUE"""),"Hooke's Law")</f>
        <v>Hooke's Law</v>
      </c>
      <c r="B24" s="6" t="str">
        <f ca="1">IFERROR(__xludf.DUMMYFUNCTION("""COMPUTED_VALUE"""),"Space")</f>
        <v>Space</v>
      </c>
      <c r="C24" s="6" t="str">
        <f ca="1">IFERROR(__xludf.DUMMYFUNCTION("""COMPUTED_VALUE"""),"Elaborate")</f>
        <v>Elaborate</v>
      </c>
      <c r="D24" s="7" t="str">
        <f ca="1">IFERROR(__xludf.DUMMYFUNCTION("""COMPUTED_VALUE"""),"No task description")</f>
        <v>No task description</v>
      </c>
      <c r="E24" s="7" t="str">
        <f ca="1">IFERROR(__xludf.DUMMYFUNCTION("""COMPUTED_VALUE"""),"No artifact embedded")</f>
        <v>No artifact embedded</v>
      </c>
      <c r="F24" s="7"/>
      <c r="G24" s="8"/>
      <c r="H24" s="8"/>
      <c r="I24" s="8"/>
      <c r="J24" s="8"/>
      <c r="K24" s="9"/>
      <c r="L24" s="9"/>
      <c r="M24" s="9"/>
      <c r="N24" s="9"/>
      <c r="O24" s="10"/>
      <c r="P24" s="10"/>
      <c r="Q24" s="10"/>
      <c r="R24" s="10"/>
      <c r="S24" s="10"/>
    </row>
    <row r="25" spans="1:19" ht="409.5" customHeight="1" x14ac:dyDescent="0.2">
      <c r="A25" s="6" t="str">
        <f ca="1">IFERROR(__xludf.DUMMYFUNCTION("""COMPUTED_VALUE"""),"Hooke's Law")</f>
        <v>Hooke's Law</v>
      </c>
      <c r="B25" s="6" t="str">
        <f ca="1">IFERROR(__xludf.DUMMYFUNCTION("""COMPUTED_VALUE"""),"Resource")</f>
        <v>Resource</v>
      </c>
      <c r="C25" s="6" t="str">
        <f ca="1">IFERROR(__xludf.DUMMYFUNCTION("""COMPUTED_VALUE"""),"Elaboration.graasp")</f>
        <v>Elaboration.graasp</v>
      </c>
      <c r="D25" s="7" t="str">
        <f ca="1">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v>
      </c>
      <c r="E25" s="7" t="str">
        <f ca="1">IFERROR(__xludf.DUMMYFUNCTION("""COMPUTED_VALUE"""),"No artifact embedded")</f>
        <v>No artifact embedded</v>
      </c>
      <c r="F25" s="7"/>
      <c r="G25" s="8"/>
      <c r="H25" s="8"/>
      <c r="I25" s="8"/>
      <c r="J25" s="8"/>
      <c r="K25" s="9"/>
      <c r="L25" s="9"/>
      <c r="M25" s="9"/>
      <c r="N25" s="9"/>
      <c r="O25" s="10"/>
      <c r="P25" s="10"/>
      <c r="Q25" s="10"/>
      <c r="R25" s="10"/>
      <c r="S25" s="10"/>
    </row>
    <row r="26" spans="1:19" ht="37" customHeight="1" x14ac:dyDescent="0.2">
      <c r="A26" s="6" t="str">
        <f ca="1">IFERROR(__xludf.DUMMYFUNCTION("""COMPUTED_VALUE"""),"Hooke's Law")</f>
        <v>Hooke's Law</v>
      </c>
      <c r="B26" s="6" t="str">
        <f ca="1">IFERROR(__xludf.DUMMYFUNCTION("""COMPUTED_VALUE"""),"Resource")</f>
        <v>Resource</v>
      </c>
      <c r="C26" s="6" t="str">
        <f ca="1">IFERROR(__xludf.DUMMYFUNCTION("""COMPUTED_VALUE"""),"to proceed.graasp")</f>
        <v>to proceed.graasp</v>
      </c>
      <c r="D26" s="7" t="str">
        <f ca="1">IFERROR(__xludf.DUMMYFUNCTION("""COMPUTED_VALUE"""),"&lt;p&gt;Click on Evaluation to continue&lt;/p&gt;")</f>
        <v>&lt;p&gt;Click on Evaluation to continue&lt;/p&gt;</v>
      </c>
      <c r="E26" s="7" t="str">
        <f ca="1">IFERROR(__xludf.DUMMYFUNCTION("""COMPUTED_VALUE"""),"No artifact embedded")</f>
        <v>No artifact embedded</v>
      </c>
      <c r="F26" s="7"/>
      <c r="G26" s="8"/>
      <c r="H26" s="8"/>
      <c r="I26" s="8"/>
      <c r="J26" s="8"/>
      <c r="K26" s="9"/>
      <c r="L26" s="9"/>
      <c r="M26" s="9"/>
      <c r="N26" s="9"/>
      <c r="O26" s="10"/>
      <c r="P26" s="10"/>
      <c r="Q26" s="10"/>
      <c r="R26" s="10"/>
      <c r="S26" s="10"/>
    </row>
    <row r="27" spans="1:19" ht="25" customHeight="1" x14ac:dyDescent="0.2">
      <c r="A27" s="6" t="str">
        <f ca="1">IFERROR(__xludf.DUMMYFUNCTION("""COMPUTED_VALUE"""),"Hooke's Law")</f>
        <v>Hooke's Law</v>
      </c>
      <c r="B27" s="6" t="str">
        <f ca="1">IFERROR(__xludf.DUMMYFUNCTION("""COMPUTED_VALUE"""),"Space")</f>
        <v>Space</v>
      </c>
      <c r="C27" s="6" t="str">
        <f ca="1">IFERROR(__xludf.DUMMYFUNCTION("""COMPUTED_VALUE"""),"Evaluation")</f>
        <v>Evaluation</v>
      </c>
      <c r="D27" s="7" t="str">
        <f ca="1">IFERROR(__xludf.DUMMYFUNCTION("""COMPUTED_VALUE"""),"No task description")</f>
        <v>No task description</v>
      </c>
      <c r="E27" s="7" t="str">
        <f ca="1">IFERROR(__xludf.DUMMYFUNCTION("""COMPUTED_VALUE"""),"No artifact embedded")</f>
        <v>No artifact embedded</v>
      </c>
      <c r="F27" s="7"/>
      <c r="G27" s="8"/>
      <c r="H27" s="8"/>
      <c r="I27" s="8"/>
      <c r="J27" s="8"/>
      <c r="K27" s="9"/>
      <c r="L27" s="9"/>
      <c r="M27" s="9"/>
      <c r="N27" s="9"/>
      <c r="O27" s="10"/>
      <c r="P27" s="10"/>
      <c r="Q27" s="10"/>
      <c r="R27" s="10"/>
      <c r="S27" s="10"/>
    </row>
    <row r="28" spans="1:19" ht="274" customHeight="1" x14ac:dyDescent="0.2">
      <c r="A28" s="6" t="str">
        <f ca="1">IFERROR(__xludf.DUMMYFUNCTION("""COMPUTED_VALUE"""),"Hooke's Law")</f>
        <v>Hooke's Law</v>
      </c>
      <c r="B28" s="6" t="str">
        <f ca="1">IFERROR(__xludf.DUMMYFUNCTION("""COMPUTED_VALUE"""),"Application")</f>
        <v>Application</v>
      </c>
      <c r="C28" s="6" t="str">
        <f ca="1">IFERROR(__xludf.DUMMYFUNCTION("""COMPUTED_VALUE"""),"Quiz Tool")</f>
        <v>Quiz Tool</v>
      </c>
      <c r="D28" s="7" t="str">
        <f ca="1">IFERROR(__xludf.DUMMYFUNCTION("""COMPUTED_VALUE"""),"&lt;p&gt;Attempt the following questions&lt;/p&gt;")</f>
        <v>&lt;p&gt;Attempt the following questions&lt;/p&gt;</v>
      </c>
      <c r="E28"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8" s="7"/>
      <c r="G28" s="8"/>
      <c r="H28" s="8"/>
      <c r="I28" s="8"/>
      <c r="J28" s="8"/>
      <c r="K28" s="9"/>
      <c r="L28" s="9"/>
      <c r="M28" s="9"/>
      <c r="N28" s="9"/>
      <c r="O28" s="10"/>
      <c r="P28" s="10"/>
      <c r="Q28" s="10"/>
      <c r="R28" s="10"/>
      <c r="S28" s="10"/>
    </row>
    <row r="29" spans="1:19" ht="37" customHeight="1" x14ac:dyDescent="0.2">
      <c r="A29" s="6" t="str">
        <f ca="1">IFERROR(__xludf.DUMMYFUNCTION("""COMPUTED_VALUE"""),"Hooke's Law")</f>
        <v>Hooke's Law</v>
      </c>
      <c r="B29" s="6" t="str">
        <f ca="1">IFERROR(__xludf.DUMMYFUNCTION("""COMPUTED_VALUE"""),"Resource")</f>
        <v>Resource</v>
      </c>
      <c r="C29" s="6" t="str">
        <f ca="1">IFERROR(__xludf.DUMMYFUNCTION("""COMPUTED_VALUE"""),"Q5..graasp")</f>
        <v>Q5..graasp</v>
      </c>
      <c r="D29" s="7" t="str">
        <f ca="1">IFERROR(__xludf.DUMMYFUNCTION("""COMPUTED_VALUE"""),"&lt;p&gt;Q6. State Hooke's Law &lt;/p&gt;")</f>
        <v>&lt;p&gt;Q6. State Hooke's Law &lt;/p&gt;</v>
      </c>
      <c r="E29" s="7" t="str">
        <f ca="1">IFERROR(__xludf.DUMMYFUNCTION("""COMPUTED_VALUE"""),"No artifact embedded")</f>
        <v>No artifact embedded</v>
      </c>
      <c r="F29" s="7"/>
      <c r="G29" s="8"/>
      <c r="H29" s="8"/>
      <c r="I29" s="8"/>
      <c r="J29" s="8"/>
      <c r="K29" s="9"/>
      <c r="L29" s="9"/>
      <c r="M29" s="9"/>
      <c r="N29" s="9"/>
      <c r="O29" s="10"/>
      <c r="P29" s="10"/>
      <c r="Q29" s="10"/>
      <c r="R29" s="10"/>
      <c r="S29" s="10"/>
    </row>
    <row r="30" spans="1:19" ht="318" customHeight="1" x14ac:dyDescent="0.2">
      <c r="A30" s="6" t="str">
        <f ca="1">IFERROR(__xludf.DUMMYFUNCTION("""COMPUTED_VALUE"""),"Hooke's Law")</f>
        <v>Hooke's Law</v>
      </c>
      <c r="B30" s="6" t="str">
        <f ca="1">IFERROR(__xludf.DUMMYFUNCTION("""COMPUTED_VALUE"""),"Application")</f>
        <v>Application</v>
      </c>
      <c r="C30" s="6" t="str">
        <f ca="1">IFERROR(__xludf.DUMMYFUNCTION("""COMPUTED_VALUE"""),"Input Box")</f>
        <v>Input Box</v>
      </c>
      <c r="D30" s="7" t="str">
        <f ca="1">IFERROR(__xludf.DUMMYFUNCTION("""COMPUTED_VALUE"""),"No task description")</f>
        <v>No task description</v>
      </c>
      <c r="E3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0" s="7"/>
      <c r="G30" s="8"/>
      <c r="H30" s="8"/>
      <c r="I30" s="8"/>
      <c r="J30" s="8"/>
      <c r="K30" s="9"/>
      <c r="L30" s="9"/>
      <c r="M30" s="9"/>
      <c r="N30" s="9"/>
      <c r="O30" s="10"/>
      <c r="P30" s="10"/>
      <c r="Q30" s="10"/>
      <c r="R30" s="10"/>
      <c r="S30" s="10"/>
    </row>
    <row r="31" spans="1:19" ht="73" customHeight="1" x14ac:dyDescent="0.2">
      <c r="A31" s="6" t="str">
        <f ca="1">IFERROR(__xludf.DUMMYFUNCTION("""COMPUTED_VALUE"""),"Hooke's Law")</f>
        <v>Hooke's Law</v>
      </c>
      <c r="B31" s="6" t="str">
        <f ca="1">IFERROR(__xludf.DUMMYFUNCTION("""COMPUTED_VALUE"""),"Application")</f>
        <v>Application</v>
      </c>
      <c r="C31" s="6" t="str">
        <f ca="1">IFERROR(__xludf.DUMMYFUNCTION("""COMPUTED_VALUE"""),"Teacher Feedback")</f>
        <v>Teacher Feedback</v>
      </c>
      <c r="D31" s="7" t="str">
        <f ca="1">IFERROR(__xludf.DUMMYFUNCTION("""COMPUTED_VALUE"""),"No task description")</f>
        <v>No task description</v>
      </c>
      <c r="E31" s="7" t="str">
        <f ca="1">IFERROR(__xludf.DUMMYFUNCTION("""COMPUTED_VALUE"""),"Golabz app/lab: ""&lt;p&gt;A tool where teachers can provide feedback to students&lt;/p&gt;\r\n""")</f>
        <v>Golabz app/lab: "&lt;p&gt;A tool where teachers can provide feedback to students&lt;/p&gt;\r\n"</v>
      </c>
      <c r="F31" s="7"/>
      <c r="G31" s="8"/>
      <c r="H31" s="8"/>
      <c r="I31" s="8"/>
      <c r="J31" s="8"/>
      <c r="K31" s="9"/>
      <c r="L31" s="9"/>
      <c r="M31" s="9"/>
      <c r="N31" s="9"/>
      <c r="O31" s="10"/>
      <c r="P31" s="10"/>
      <c r="Q31" s="10"/>
      <c r="R31" s="10"/>
      <c r="S31" s="10"/>
    </row>
    <row r="32" spans="1:19" ht="109" customHeight="1" x14ac:dyDescent="0.2">
      <c r="A32" s="6" t="str">
        <f ca="1">IFERROR(__xludf.DUMMYFUNCTION("""COMPUTED_VALUE"""),"Hooke's Law")</f>
        <v>Hooke's Law</v>
      </c>
      <c r="B32" s="6" t="str">
        <f ca="1">IFERROR(__xludf.DUMMYFUNCTION("""COMPUTED_VALUE"""),"Resource")</f>
        <v>Resource</v>
      </c>
      <c r="C32" s="6" t="str">
        <f ca="1">IFERROR(__xludf.DUMMYFUNCTION("""COMPUTED_VALUE"""),"Q6..graasp")</f>
        <v>Q6..graasp</v>
      </c>
      <c r="D32" s="7" t="str">
        <f ca="1">IFERROR(__xludf.DUMMYFUNCTION("""COMPUTED_VALUE"""),"&lt;p&gt;Q7. State one practical application of materials that;&lt;/p&gt;&lt;p&gt;(i) Obey Hooke's Law&lt;/p&gt;&lt;p&gt;(ii) Do not obey Hooke's Law&lt;/p&gt;")</f>
        <v>&lt;p&gt;Q7. State one practical application of materials that;&lt;/p&gt;&lt;p&gt;(i) Obey Hooke's Law&lt;/p&gt;&lt;p&gt;(ii) Do not obey Hooke's Law&lt;/p&gt;</v>
      </c>
      <c r="E32" s="7" t="str">
        <f ca="1">IFERROR(__xludf.DUMMYFUNCTION("""COMPUTED_VALUE"""),"No artifact embedded")</f>
        <v>No artifact embedded</v>
      </c>
      <c r="F32" s="7"/>
      <c r="G32" s="8"/>
      <c r="H32" s="8"/>
      <c r="I32" s="8"/>
      <c r="J32" s="8"/>
      <c r="K32" s="9"/>
      <c r="L32" s="9"/>
      <c r="M32" s="9"/>
      <c r="N32" s="9"/>
      <c r="O32" s="10"/>
      <c r="P32" s="10"/>
      <c r="Q32" s="10"/>
      <c r="R32" s="10"/>
      <c r="S32" s="10"/>
    </row>
    <row r="33" spans="1:19" ht="318" customHeight="1" x14ac:dyDescent="0.2">
      <c r="A33" s="6" t="str">
        <f ca="1">IFERROR(__xludf.DUMMYFUNCTION("""COMPUTED_VALUE"""),"Hooke's Law")</f>
        <v>Hooke's Law</v>
      </c>
      <c r="B33" s="6" t="str">
        <f ca="1">IFERROR(__xludf.DUMMYFUNCTION("""COMPUTED_VALUE"""),"Application")</f>
        <v>Application</v>
      </c>
      <c r="C33" s="6" t="str">
        <f ca="1">IFERROR(__xludf.DUMMYFUNCTION("""COMPUTED_VALUE"""),"Input Box (1)")</f>
        <v>Input Box (1)</v>
      </c>
      <c r="D33" s="7" t="str">
        <f ca="1">IFERROR(__xludf.DUMMYFUNCTION("""COMPUTED_VALUE"""),"No task description")</f>
        <v>No task description</v>
      </c>
      <c r="E3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3" s="7"/>
      <c r="G33" s="8"/>
      <c r="H33" s="8"/>
      <c r="I33" s="8"/>
      <c r="J33" s="8"/>
      <c r="K33" s="9"/>
      <c r="L33" s="9"/>
      <c r="M33" s="9"/>
      <c r="N33" s="9"/>
      <c r="O33" s="10"/>
      <c r="P33" s="10"/>
      <c r="Q33" s="10"/>
      <c r="R33" s="10"/>
      <c r="S33" s="10"/>
    </row>
    <row r="34" spans="1:19" ht="73" customHeight="1" x14ac:dyDescent="0.2">
      <c r="A34" s="6" t="str">
        <f ca="1">IFERROR(__xludf.DUMMYFUNCTION("""COMPUTED_VALUE"""),"Hooke's Law")</f>
        <v>Hooke's Law</v>
      </c>
      <c r="B34" s="6" t="str">
        <f ca="1">IFERROR(__xludf.DUMMYFUNCTION("""COMPUTED_VALUE"""),"Application")</f>
        <v>Application</v>
      </c>
      <c r="C34" s="6" t="str">
        <f ca="1">IFERROR(__xludf.DUMMYFUNCTION("""COMPUTED_VALUE"""),"Teacher Feedback (1)")</f>
        <v>Teacher Feedback (1)</v>
      </c>
      <c r="D34" s="7" t="str">
        <f ca="1">IFERROR(__xludf.DUMMYFUNCTION("""COMPUTED_VALUE"""),"No task description")</f>
        <v>No task description</v>
      </c>
      <c r="E34" s="7" t="str">
        <f ca="1">IFERROR(__xludf.DUMMYFUNCTION("""COMPUTED_VALUE"""),"Golabz app/lab: ""&lt;p&gt;A tool where teachers can provide feedback to students&lt;/p&gt;\r\n""")</f>
        <v>Golabz app/lab: "&lt;p&gt;A tool where teachers can provide feedback to students&lt;/p&gt;\r\n"</v>
      </c>
      <c r="F34" s="7"/>
      <c r="G34" s="8"/>
      <c r="H34" s="8"/>
      <c r="I34" s="8"/>
      <c r="J34" s="8"/>
      <c r="K34" s="9"/>
      <c r="L34" s="9"/>
      <c r="M34" s="9"/>
      <c r="N34" s="9"/>
      <c r="O34" s="10"/>
      <c r="P34" s="10"/>
      <c r="Q34" s="10"/>
      <c r="R34" s="10"/>
      <c r="S34" s="10"/>
    </row>
    <row r="35" spans="1:19" ht="25" customHeight="1" x14ac:dyDescent="0.2">
      <c r="A35" s="6" t="str">
        <f ca="1">IFERROR(__xludf.DUMMYFUNCTION("""COMPUTED_VALUE"""),"Hooke's Law")</f>
        <v>Hooke's Law</v>
      </c>
      <c r="B35" s="6" t="str">
        <f ca="1">IFERROR(__xludf.DUMMYFUNCTION("""COMPUTED_VALUE"""),"Space")</f>
        <v>Space</v>
      </c>
      <c r="C35" s="6" t="str">
        <f ca="1">IFERROR(__xludf.DUMMYFUNCTION("""COMPUTED_VALUE"""),"Assignment")</f>
        <v>Assignment</v>
      </c>
      <c r="D35" s="7" t="str">
        <f ca="1">IFERROR(__xludf.DUMMYFUNCTION("""COMPUTED_VALUE"""),"No task description")</f>
        <v>No task description</v>
      </c>
      <c r="E35" s="7" t="str">
        <f ca="1">IFERROR(__xludf.DUMMYFUNCTION("""COMPUTED_VALUE"""),"No artifact embedded")</f>
        <v>No artifact embedded</v>
      </c>
      <c r="F35" s="7"/>
      <c r="G35" s="8"/>
      <c r="H35" s="8"/>
      <c r="I35" s="8"/>
      <c r="J35" s="8"/>
      <c r="K35" s="9"/>
      <c r="L35" s="9"/>
      <c r="M35" s="9"/>
      <c r="N35" s="9"/>
      <c r="O35" s="10"/>
      <c r="P35" s="10"/>
      <c r="Q35" s="10"/>
      <c r="R35" s="10"/>
      <c r="S35" s="10"/>
    </row>
    <row r="36" spans="1:19" ht="181" customHeight="1" x14ac:dyDescent="0.2">
      <c r="A36" s="6" t="str">
        <f ca="1">IFERROR(__xludf.DUMMYFUNCTION("""COMPUTED_VALUE"""),"Hooke's Law")</f>
        <v>Hooke's Law</v>
      </c>
      <c r="B36" s="6" t="str">
        <f ca="1">IFERROR(__xludf.DUMMYFUNCTION("""COMPUTED_VALUE"""),"Resource")</f>
        <v>Resource</v>
      </c>
      <c r="C36" s="6" t="str">
        <f ca="1">IFERROR(__xludf.DUMMYFUNCTION("""COMPUTED_VALUE"""),"Assignment.graasp")</f>
        <v>Assignment.graasp</v>
      </c>
      <c r="D36" s="7" t="str">
        <f ca="1">IFERROR(__xludf.DUMMYFUNCTION("""COMPUTED_VALUE"""),"&lt;p&gt;ASSIGNMENT&lt;/p&gt;&lt;p&gt;State and explain various uses of elastic materials&lt;br&gt;What is the effect on (a) spring constant (b) extension when springs are connected as shown in the following diagrams?&lt;/p&gt;")</f>
        <v>&lt;p&gt;ASSIGNMENT&lt;/p&gt;&lt;p&gt;State and explain various uses of elastic materials&lt;br&gt;What is the effect on (a) spring constant (b) extension when springs are connected as shown in the following diagrams?&lt;/p&gt;</v>
      </c>
      <c r="E36" s="7" t="str">
        <f ca="1">IFERROR(__xludf.DUMMYFUNCTION("""COMPUTED_VALUE"""),"No artifact embedded")</f>
        <v>No artifact embedded</v>
      </c>
      <c r="F36" s="7"/>
      <c r="G36" s="8"/>
      <c r="H36" s="8"/>
      <c r="I36" s="8"/>
      <c r="J36" s="8"/>
      <c r="K36" s="9"/>
      <c r="L36" s="9"/>
      <c r="M36" s="9"/>
      <c r="N36" s="9"/>
      <c r="O36" s="10"/>
      <c r="P36" s="10"/>
      <c r="Q36" s="10"/>
      <c r="R36" s="10"/>
      <c r="S36" s="10"/>
    </row>
    <row r="37" spans="1:19" ht="157" customHeight="1" x14ac:dyDescent="0.2">
      <c r="A37" s="6" t="str">
        <f ca="1">IFERROR(__xludf.DUMMYFUNCTION("""COMPUTED_VALUE"""),"Hooke's Law")</f>
        <v>Hooke's Law</v>
      </c>
      <c r="B37" s="6" t="str">
        <f ca="1">IFERROR(__xludf.DUMMYFUNCTION("""COMPUTED_VALUE"""),"Resource")</f>
        <v>Resource</v>
      </c>
      <c r="C37" s="6" t="str">
        <f ca="1">IFERROR(__xludf.DUMMYFUNCTION("""COMPUTED_VALUE"""),"springs.docx")</f>
        <v>springs.docx</v>
      </c>
      <c r="D37" s="7" t="str">
        <f ca="1">IFERROR(__xludf.DUMMYFUNCTION("""COMPUTED_VALUE"""),"No task description")</f>
        <v>No task description</v>
      </c>
      <c r="E37" s="7" t="str">
        <f ca="1">IFERROR(__xludf.DUMMYFUNCTION("""COMPUTED_VALUE"""),"application/vnd.openxmlformats-officedocument.wordprocessingml.document – A Microsoft Word document (DOCX), typically containing formatted text, images, and tables.")</f>
        <v>application/vnd.openxmlformats-officedocument.wordprocessingml.document – A Microsoft Word document (DOCX), typically containing formatted text, images, and tables.</v>
      </c>
      <c r="F37" s="7"/>
      <c r="G37" s="8"/>
      <c r="H37" s="8"/>
      <c r="I37" s="8"/>
      <c r="J37" s="8"/>
      <c r="K37" s="9"/>
      <c r="L37" s="9"/>
      <c r="M37" s="9"/>
      <c r="N37" s="9"/>
      <c r="O37" s="10"/>
      <c r="P37" s="10"/>
      <c r="Q37" s="10"/>
      <c r="R37" s="10"/>
      <c r="S37" s="10"/>
    </row>
    <row r="38" spans="1:19" ht="157" customHeight="1" x14ac:dyDescent="0.2">
      <c r="A38" s="6" t="str">
        <f ca="1">IFERROR(__xludf.DUMMYFUNCTION("""COMPUTED_VALUE"""),"Hooke's Law")</f>
        <v>Hooke's Law</v>
      </c>
      <c r="B38" s="6" t="str">
        <f ca="1">IFERROR(__xludf.DUMMYFUNCTION("""COMPUTED_VALUE"""),"Application")</f>
        <v>Application</v>
      </c>
      <c r="C38" s="6" t="str">
        <f ca="1">IFERROR(__xludf.DUMMYFUNCTION("""COMPUTED_VALUE"""),"File Drop")</f>
        <v>File Drop</v>
      </c>
      <c r="D38" s="7" t="str">
        <f ca="1">IFERROR(__xludf.DUMMYFUNCTION("""COMPUTED_VALUE"""),"No task description")</f>
        <v>No task description</v>
      </c>
      <c r="E38"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38" s="7"/>
      <c r="G38" s="8"/>
      <c r="H38" s="8"/>
      <c r="I38" s="8"/>
      <c r="J38" s="8"/>
      <c r="K38" s="9"/>
      <c r="L38" s="9"/>
      <c r="M38" s="9"/>
      <c r="N38" s="9"/>
      <c r="O38" s="10"/>
      <c r="P38" s="10"/>
      <c r="Q38" s="10"/>
      <c r="R38" s="10"/>
      <c r="S38" s="10"/>
    </row>
    <row r="39" spans="1:19" ht="25" customHeight="1" x14ac:dyDescent="0.2">
      <c r="A39" s="6" t="str">
        <f ca="1">IFERROR(__xludf.DUMMYFUNCTION("""COMPUTED_VALUE"""),"How do light and temperature affect photosynthesis in plants? - Version A")</f>
        <v>How do light and temperature affect photosynthesis in plants? - Version A</v>
      </c>
      <c r="B39" s="6" t="str">
        <f ca="1">IFERROR(__xludf.DUMMYFUNCTION("""COMPUTED_VALUE"""),"Space")</f>
        <v>Space</v>
      </c>
      <c r="C39" s="6" t="str">
        <f ca="1">IFERROR(__xludf.DUMMYFUNCTION("""COMPUTED_VALUE"""),"Demo")</f>
        <v>Demo</v>
      </c>
      <c r="D39" s="7" t="str">
        <f ca="1">IFERROR(__xludf.DUMMYFUNCTION("""COMPUTED_VALUE"""),"No task description")</f>
        <v>No task description</v>
      </c>
      <c r="E39" s="7" t="str">
        <f ca="1">IFERROR(__xludf.DUMMYFUNCTION("""COMPUTED_VALUE"""),"No artifact embedded")</f>
        <v>No artifact embedded</v>
      </c>
      <c r="F39" s="7"/>
      <c r="G39" s="8"/>
      <c r="H39" s="8"/>
      <c r="I39" s="8"/>
      <c r="J39" s="8"/>
      <c r="K39" s="9"/>
      <c r="L39" s="9"/>
      <c r="M39" s="9"/>
      <c r="N39" s="9"/>
      <c r="O39" s="10"/>
      <c r="P39" s="10"/>
      <c r="Q39" s="10"/>
      <c r="R39" s="10"/>
      <c r="S39" s="10"/>
    </row>
    <row r="40" spans="1:19" ht="97" customHeight="1" x14ac:dyDescent="0.2">
      <c r="A40" s="6" t="str">
        <f ca="1">IFERROR(__xludf.DUMMYFUNCTION("""COMPUTED_VALUE"""),"How do light and temperature affect photosynthesis in plants? - Version A")</f>
        <v>How do light and temperature affect photosynthesis in plants? - Version A</v>
      </c>
      <c r="B40" s="6" t="str">
        <f ca="1">IFERROR(__xludf.DUMMYFUNCTION("""COMPUTED_VALUE"""),"Resource")</f>
        <v>Resource</v>
      </c>
      <c r="C40" s="6" t="str">
        <f ca="1">IFERROR(__xludf.DUMMYFUNCTION("""COMPUTED_VALUE"""),"pilt.png")</f>
        <v>pilt.png</v>
      </c>
      <c r="D40" s="7" t="str">
        <f ca="1">IFERROR(__xludf.DUMMYFUNCTION("""COMPUTED_VALUE"""),"No task description")</f>
        <v>No task description</v>
      </c>
      <c r="E40" s="7" t="str">
        <f ca="1">IFERROR(__xludf.DUMMYFUNCTION("""COMPUTED_VALUE"""),"image/png – A high-quality image with support for transparency, often used in design and web applications.")</f>
        <v>image/png – A high-quality image with support for transparency, often used in design and web applications.</v>
      </c>
      <c r="F40" s="7"/>
      <c r="G40" s="8"/>
      <c r="H40" s="8"/>
      <c r="I40" s="8"/>
      <c r="J40" s="8"/>
      <c r="K40" s="9"/>
      <c r="L40" s="9"/>
      <c r="M40" s="9"/>
      <c r="N40" s="9"/>
      <c r="O40" s="10"/>
      <c r="P40" s="10"/>
      <c r="Q40" s="10"/>
      <c r="R40" s="10"/>
      <c r="S40" s="10"/>
    </row>
    <row r="41" spans="1:19" ht="169" customHeight="1" x14ac:dyDescent="0.2">
      <c r="A41" s="6" t="str">
        <f ca="1">IFERROR(__xludf.DUMMYFUNCTION("""COMPUTED_VALUE"""),"How do light and temperature affect photosynthesis in plants? - Version A")</f>
        <v>How do light and temperature affect photosynthesis in plants? - Version A</v>
      </c>
      <c r="B41" s="6" t="str">
        <f ca="1">IFERROR(__xludf.DUMMYFUNCTION("""COMPUTED_VALUE"""),"Resource")</f>
        <v>Resource</v>
      </c>
      <c r="C41" s="6" t="str">
        <f ca="1">IFERROR(__xludf.DUMMYFUNCTION("""COMPUTED_VALUE"""),"Tekst5.graasp")</f>
        <v>Tekst5.graasp</v>
      </c>
      <c r="D41" s="7" t="str">
        <f ca="1">IFERROR(__xludf.DUMMYFUNCTION("""COMPUTED_VALUE"""),"&lt;p&gt;Look at the picture and think how you could select and place objects on the seesaw so that the seesaw is balanced. Use the scratchpad tool below to formulate a prediction (hypothesis).&lt;br&gt;&lt;/p&gt;")</f>
        <v>&lt;p&gt;Look at the picture and think how you could select and place objects on the seesaw so that the seesaw is balanced. Use the scratchpad tool below to formulate a prediction (hypothesis).&lt;br&gt;&lt;/p&gt;</v>
      </c>
      <c r="E41" s="7" t="str">
        <f ca="1">IFERROR(__xludf.DUMMYFUNCTION("""COMPUTED_VALUE"""),"No artifact embedded")</f>
        <v>No artifact embedded</v>
      </c>
      <c r="F41" s="7"/>
      <c r="G41" s="8"/>
      <c r="H41" s="8"/>
      <c r="I41" s="8"/>
      <c r="J41" s="8"/>
      <c r="K41" s="9"/>
      <c r="L41" s="9"/>
      <c r="M41" s="9"/>
      <c r="N41" s="9"/>
      <c r="O41" s="10"/>
      <c r="P41" s="10"/>
      <c r="Q41" s="10"/>
      <c r="R41" s="10"/>
      <c r="S41" s="10"/>
    </row>
    <row r="42" spans="1:19" ht="409.5" customHeight="1" x14ac:dyDescent="0.2">
      <c r="A42" s="6" t="str">
        <f ca="1">IFERROR(__xludf.DUMMYFUNCTION("""COMPUTED_VALUE"""),"How do light and temperature affect photosynthesis in plants? - Version A")</f>
        <v>How do light and temperature affect photosynthesis in plants? - Version A</v>
      </c>
      <c r="B42" s="6" t="str">
        <f ca="1">IFERROR(__xludf.DUMMYFUNCTION("""COMPUTED_VALUE"""),"Application")</f>
        <v>Application</v>
      </c>
      <c r="C42" s="6" t="str">
        <f ca="1">IFERROR(__xludf.DUMMYFUNCTION("""COMPUTED_VALUE"""),"Hypothesis Scratchpad")</f>
        <v>Hypothesis Scratchpad</v>
      </c>
      <c r="D42" s="7" t="str">
        <f ca="1">IFERROR(__xludf.DUMMYFUNCTION("""COMPUTED_VALUE"""),"No task description")</f>
        <v>No task description</v>
      </c>
      <c r="E42"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42" s="7"/>
      <c r="G42" s="8"/>
      <c r="H42" s="8"/>
      <c r="I42" s="8"/>
      <c r="J42" s="8"/>
      <c r="K42" s="9"/>
      <c r="L42" s="9"/>
      <c r="M42" s="9"/>
      <c r="N42" s="9"/>
      <c r="O42" s="10"/>
      <c r="P42" s="10"/>
      <c r="Q42" s="10"/>
      <c r="R42" s="10"/>
      <c r="S42" s="10"/>
    </row>
    <row r="43" spans="1:19" ht="395" customHeight="1" x14ac:dyDescent="0.2">
      <c r="A43" s="6" t="str">
        <f ca="1">IFERROR(__xludf.DUMMYFUNCTION("""COMPUTED_VALUE"""),"How do light and temperature affect photosynthesis in plants? - Version A")</f>
        <v>How do light and temperature affect photosynthesis in plants? - Version A</v>
      </c>
      <c r="B43" s="6" t="str">
        <f ca="1">IFERROR(__xludf.DUMMYFUNCTION("""COMPUTED_VALUE"""),"Resource")</f>
        <v>Resource</v>
      </c>
      <c r="C43" s="6" t="str">
        <f ca="1">IFERROR(__xludf.DUMMYFUNCTION("""COMPUTED_VALUE"""),"Text 1.graasp")</f>
        <v>Text 1.graasp</v>
      </c>
      <c r="D43" s="7" t="str">
        <f ca="1">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&lt;hr&gt;&lt;p&gt;In this task you will collaborate together with a partner to solve a problem about balancing a seesaw. The task has three parts:&lt;/p&gt;&lt;p style="margin-left: 40px;"&gt;1) a simulation of a seesaw that both you and your partner can partially control;&lt;br&gt;2) a chat application to communicate with your partner;&lt;br&gt;3) a question for you to answer.&lt;/p&gt;Once you have finished answering your question, the task is complete. Your can find the question at the bottom of this page.</v>
      </c>
      <c r="E43" s="7" t="str">
        <f ca="1">IFERROR(__xludf.DUMMYFUNCTION("""COMPUTED_VALUE"""),"No artifact embedded")</f>
        <v>No artifact embedded</v>
      </c>
      <c r="F43" s="7"/>
      <c r="G43" s="8"/>
      <c r="H43" s="8"/>
      <c r="I43" s="8"/>
      <c r="J43" s="8"/>
      <c r="K43" s="9"/>
      <c r="L43" s="9"/>
      <c r="M43" s="9"/>
      <c r="N43" s="9"/>
      <c r="O43" s="10"/>
      <c r="P43" s="10"/>
      <c r="Q43" s="10"/>
      <c r="R43" s="10"/>
      <c r="S43" s="10"/>
    </row>
    <row r="44" spans="1:19" ht="409.5" customHeight="1" x14ac:dyDescent="0.2">
      <c r="A44" s="6" t="str">
        <f ca="1">IFERROR(__xludf.DUMMYFUNCTION("""COMPUTED_VALUE"""),"How do light and temperature affect photosynthesis in plants? - Version A")</f>
        <v>How do light and temperature affect photosynthesis in plants? - Version A</v>
      </c>
      <c r="B44" s="6" t="str">
        <f ca="1">IFERROR(__xludf.DUMMYFUNCTION("""COMPUTED_VALUE"""),"Resource")</f>
        <v>Resource</v>
      </c>
      <c r="C44" s="6" t="str">
        <f ca="1">IFERROR(__xludf.DUMMYFUNCTION("""COMPUTED_VALUE"""),"instructions for the simulation and chat app.graasp")</f>
        <v>instructions for the simulation and chat app.graasp</v>
      </c>
      <c r="D44" s="7" t="str">
        <f ca="1">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&lt;p&gt;&lt;strong&gt;1. Instructions for the simulation and chat app&lt;/strong&gt;&lt;/p&gt;&lt;p&gt;A. Your teacher has assigned you a number that you will use to open the simulation.  Please enter this number in the text box labeled "Enter your chat room number" and click on the button "Join".&lt;/p&gt;&lt;p&gt;B. You and your partner share a seesaw but each of you can only interact with one side of it. Place objects on the seesaw by clicking and dragging them to the numbered positions.&lt;/p&gt;&lt;p&gt;C. You can share an object with your partner by moving it to the text box labeled "Drag-and-drop and object here to share it".&lt;/p&gt;&lt;p&gt;D. To open the chat application, enter the same number you used to open the simulation into the second text box labeled "Room number." Then click on the "Join existing room" button.&lt;/p&gt;</v>
      </c>
      <c r="E44" s="7" t="str">
        <f ca="1">IFERROR(__xludf.DUMMYFUNCTION("""COMPUTED_VALUE"""),"No artifact embedded")</f>
        <v>No artifact embedded</v>
      </c>
      <c r="F44" s="7"/>
      <c r="G44" s="8"/>
      <c r="H44" s="8"/>
      <c r="I44" s="8"/>
      <c r="J44" s="8"/>
      <c r="K44" s="9"/>
      <c r="L44" s="9"/>
      <c r="M44" s="9"/>
      <c r="N44" s="9"/>
      <c r="O44" s="10"/>
      <c r="P44" s="10"/>
      <c r="Q44" s="10"/>
      <c r="R44" s="10"/>
      <c r="S44" s="10"/>
    </row>
    <row r="45" spans="1:19" ht="409.5" customHeight="1" x14ac:dyDescent="0.2">
      <c r="A45" s="6" t="str">
        <f ca="1">IFERROR(__xludf.DUMMYFUNCTION("""COMPUTED_VALUE"""),"How do light and temperature affect photosynthesis in plants? - Version A")</f>
        <v>How do light and temperature affect photosynthesis in plants? - Version A</v>
      </c>
      <c r="B45" s="6" t="str">
        <f ca="1">IFERROR(__xludf.DUMMYFUNCTION("""COMPUTED_VALUE"""),"Application")</f>
        <v>Application</v>
      </c>
      <c r="C45" s="6" t="str">
        <f ca="1">IFERROR(__xludf.DUMMYFUNCTION("""COMPUTED_VALUE"""),"Seesaw Lab - right side")</f>
        <v>Seesaw Lab - right side</v>
      </c>
      <c r="D45" s="7" t="str">
        <f ca="1">IFERROR(__xludf.DUMMYFUNCTION("""COMPUTED_VALUE"""),"No task description")</f>
        <v>No task description</v>
      </c>
      <c r="E45" s="7" t="str">
        <f ca="1">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Golabz app/lab: `&lt;p&gt;Students working at a distance in two different ILSs share a seesaw, but can only interact with one side of the seesaw. They are able to place objects of different masses onto four different positions on their side of the seesaw. They can pass objects back and forth between each other.&lt;/p&gt;\r\n\r\n&lt;p&gt;&lt;strong&gt;Teaching Tips:&lt;/strong&gt;&lt;/p&gt;\r\n\r\n&lt;ul&gt;\r\n\t&lt;li dir="ltr"&gt;\r\n\t&lt;p dir="ltr"&gt;&lt;span&gt;&lt;span&gt;The Collaborative Seesaw Lab is primarily aimed at promoting collaborative problem-solving skills. Example tasks using this lab could include asking students to answer the following questions: &lt;/span&gt;&lt;/span&gt;&lt;/p&gt;\r\n\r\n\t&lt;ul&gt;\r\n\t\t&lt;li&gt;\r\n\t\t&lt;p dir="ltr"&gt;Can you make the seesaw balance using only 1 object? If yes, then describe exactly how you made the seesaw balance. (This question can be also asked for 2, 3, or 4 objects. Note that you can never balance the seesaw with only one object on the seesaw).&lt;/p&gt;\r\n\t\t&lt;/li&gt;\r\n\t\t&lt;li&gt;\r\n\t\t&lt;p dir="ltr"&gt;Can you guess which objects and what positions your fellow student is placing their objects?&lt;/p&gt;\r\n\t\t&lt;/li&gt;\r\n\t&lt;/ul&gt;\r\n\t&lt;/li&gt;\r\n\t&lt;li dir="ltr"&gt;\r\n\t&lt;p dir="ltr"&gt;After using the Collaborative Seesaw Lab to foster collaborative skills, it is recommended that students proceed to develop their knowledge and investigate the physics of the seesaw situation. A very good lab for this objective is the &lt;a href="http://www.golabz.eu/lab/balancing-act"&gt;Balancing Act Lab&lt;/a&gt;.&amp;nbsp;You can also add a second investigation phase to your ILS to include an additional lab.&lt;/p&gt;\r\n\t&lt;/li&gt;\r\n&lt;/ul&gt;\r\n\r\n&lt;p dir="ltr"&gt;&amp;nbsp;&lt;/p&gt;\r\n\r\n&lt;p dir="ltr"&gt;&lt;strong&gt;Instructions for use:&lt;/strong&gt;&lt;/p&gt;\r\n\r\n&lt;p dir="ltr"&gt;1.) When you click on the "Create Space" button you will create an ILS that has &lt;strong&gt;two versions&lt;/strong&gt; of the Seesaw Lab in the investigation phase. The version called "Seesaw Lab - left side" will only allow a user to interact with the left side of the seesaw. By default, all objects initially appear in this version.&amp;nbsp;The version called "Seesaw Lab - right side only"&amp;nbsp;only allows a user to interact with the right side of the seesaw.&amp;nbsp;By default, no objects appear in the right side version and students using the left side version, where all the objects are initially located, must share objects to students using the right side version of the Seesaw Lab.&lt;/p&gt;\r\n\r\n&lt;p dir="ltr"&gt;2.) Because two version of the Seesaw Lab are created you should delete one of them and rename your ILS appropriately (e.g., Seesaw Lab - left side). Then return to the Seesaw Lab page at Golabz and click the button "Create Space" again. This will create a new ILS with the two versions of the Seesaw Lab. Simply delete the version of the lab for which you already have an ILS of and rename the new ILS appropriately (e.g., Seesaw Lab - right side).&amp;nbsp;&lt;/p&gt;\r\n\r\n&lt;p dir="ltr"&gt;3.)&amp;nbsp;The Seesaw Lab is meant to be used together with a chat application, such as the &lt;a href="http://www.golabz.eu/apps/speakup"&gt;SpeakUP app&lt;/a&gt;, so that students can communicate with each other. Include the SpeakUP app preferably right before the lab. To use the SpeakUP app students are required to enter a common room number or create a room and share the number of the room with the other student(s). As a teacher you can also create multiple room numbers using the SpeakUP app and assign them to students as you like. This will allow you to access their chat transcripts later to read how they communicated with each other. The Seesaw Lab starts by asking users to enter a chat room number (which users of the SpeakUP already have). As long as two users enter the same room number they will then share the same seesaw with each of them in control over one side of the seesaw. Please instruct your students in the ILS that they will not see the lab without a chat room number.&lt;/p&gt;\r\n\r\n&lt;p dir="ltr"&gt;&amp;nbsp;&lt;/p&gt;\r\n\r\n&lt;p dir="ltr"&gt;&lt;strong&gt;Examples:&lt;/strong&gt;&lt;/p&gt;\r\n\r\n&lt;p dir="ltr"&gt;See the two links below for a pair of ILSs that apply the Seesaw Lab to promote students' collaboration skills:&lt;/p&gt;\r\n\r\n&lt;p dir="ltr"&gt;&lt;a href="http://www.golabz.eu/spaces/how-does-seesaw-work-version"&gt;How does a seesaw work? - version A&lt;/a&gt; (allows interaction with only the LEFT side of the seesaw)&lt;/p&gt;\r\n\r\n&lt;p dir="ltr"&gt;&lt;span&gt;&lt;a href="http://www.golabz.eu/spaces/how-does-seesaw-work-version-b"&gt;How does a seesaw work? - version B&lt;/a&gt; (allows interaction with only the RIGHT side of the seesaw)&lt;/span&gt;&lt;/p&gt;\r\n\r\n&lt;p dir="ltr"&gt;&amp;nbsp;&lt;/p&gt;\r\n\r\n&lt;p dir="ltr"&gt;&lt;strong&gt;&lt;span&gt;&lt;span&gt;&lt;span&gt;Credits:&lt;/span&gt;&lt;/span&gt;&lt;/span&gt;&lt;/strong&gt;&lt;/p&gt;\r\n\r\n&lt;p dir="ltr"&gt;This lab was inspired by the Balancing Act Lab developed by the PhET interactive simulations project (&lt;a href="https://phet.colorado.edu/"&gt;https://phet.colorado.edu/&lt;/a&gt;), as well as by the Balance Beam task developed by the Assessment &amp;amp; Teaching of 21st Century Skills project (&lt;a href="http://www.atc21s.org/"&gt;http://www.atc21s.org/&lt;/a&gt;).&lt;/p&gt;\r\n`</v>
      </c>
      <c r="F45" s="7"/>
      <c r="G45" s="8"/>
      <c r="H45" s="8"/>
      <c r="I45" s="8"/>
      <c r="J45" s="8"/>
      <c r="K45" s="9"/>
      <c r="L45" s="9"/>
      <c r="M45" s="9"/>
      <c r="N45" s="9"/>
      <c r="O45" s="10"/>
      <c r="P45" s="10"/>
      <c r="Q45" s="10"/>
      <c r="R45" s="10"/>
      <c r="S45" s="10"/>
    </row>
    <row r="46" spans="1:19" ht="97" customHeight="1" x14ac:dyDescent="0.2">
      <c r="A46" s="6" t="str">
        <f ca="1">IFERROR(__xludf.DUMMYFUNCTION("""COMPUTED_VALUE"""),"How do light and temperature affect photosynthesis in plants? - Version A")</f>
        <v>How do light and temperature affect photosynthesis in plants? - Version A</v>
      </c>
      <c r="B46" s="6" t="str">
        <f ca="1">IFERROR(__xludf.DUMMYFUNCTION("""COMPUTED_VALUE"""),"Resource")</f>
        <v>Resource</v>
      </c>
      <c r="C46" s="6" t="str">
        <f ca="1">IFERROR(__xludf.DUMMYFUNCTION("""COMPUTED_VALUE"""),"tips.png")</f>
        <v>tips.png</v>
      </c>
      <c r="D46" s="7" t="str">
        <f ca="1">IFERROR(__xludf.DUMMYFUNCTION("""COMPUTED_VALUE"""),"No task description")</f>
        <v>No task description</v>
      </c>
      <c r="E46" s="7" t="str">
        <f ca="1">IFERROR(__xludf.DUMMYFUNCTION("""COMPUTED_VALUE"""),"image/png – A high-quality image with support for transparency, often used in design and web applications.")</f>
        <v>image/png – A high-quality image with support for transparency, often used in design and web applications.</v>
      </c>
      <c r="F46" s="7"/>
      <c r="G46" s="8"/>
      <c r="H46" s="8"/>
      <c r="I46" s="8"/>
      <c r="J46" s="8"/>
      <c r="K46" s="9"/>
      <c r="L46" s="9"/>
      <c r="M46" s="9"/>
      <c r="N46" s="9"/>
      <c r="O46" s="10"/>
      <c r="P46" s="10"/>
      <c r="Q46" s="10"/>
      <c r="R46" s="10"/>
      <c r="S46" s="10"/>
    </row>
    <row r="47" spans="1:19" ht="409.5" customHeight="1" x14ac:dyDescent="0.2">
      <c r="A47" s="6" t="str">
        <f ca="1">IFERROR(__xludf.DUMMYFUNCTION("""COMPUTED_VALUE"""),"How do light and temperature affect photosynthesis in plants? - Version A")</f>
        <v>How do light and temperature affect photosynthesis in plants? - Version A</v>
      </c>
      <c r="B47" s="6" t="str">
        <f ca="1">IFERROR(__xludf.DUMMYFUNCTION("""COMPUTED_VALUE"""),"Application")</f>
        <v>Application</v>
      </c>
      <c r="C47" s="6" t="str">
        <f ca="1">IFERROR(__xludf.DUMMYFUNCTION("""COMPUTED_VALUE"""),"SpeakUp")</f>
        <v>SpeakUp</v>
      </c>
      <c r="D47" s="7" t="str">
        <f ca="1">IFERROR(__xludf.DUMMYFUNCTION("""COMPUTED_VALUE"""),"No task description")</f>
        <v>No task description</v>
      </c>
      <c r="E47"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47" s="7"/>
      <c r="G47" s="8"/>
      <c r="H47" s="8"/>
      <c r="I47" s="8"/>
      <c r="J47" s="8"/>
      <c r="K47" s="9"/>
      <c r="L47" s="9"/>
      <c r="M47" s="9"/>
      <c r="N47" s="9"/>
      <c r="O47" s="10"/>
      <c r="P47" s="10"/>
      <c r="Q47" s="10"/>
      <c r="R47" s="10"/>
      <c r="S47" s="10"/>
    </row>
    <row r="48" spans="1:19" ht="318" customHeight="1" x14ac:dyDescent="0.2">
      <c r="A48" s="6" t="str">
        <f ca="1">IFERROR(__xludf.DUMMYFUNCTION("""COMPUTED_VALUE"""),"How do light and temperature affect photosynthesis in plants? - Version A")</f>
        <v>How do light and temperature affect photosynthesis in plants? - Version A</v>
      </c>
      <c r="B48" s="6" t="str">
        <f ca="1">IFERROR(__xludf.DUMMYFUNCTION("""COMPUTED_VALUE"""),"Application")</f>
        <v>Application</v>
      </c>
      <c r="C48" s="6" t="str">
        <f ca="1">IFERROR(__xludf.DUMMYFUNCTION("""COMPUTED_VALUE"""),"Input Box 1")</f>
        <v>Input Box 1</v>
      </c>
      <c r="D48" s="7" t="str">
        <f ca="1">IFERROR(__xludf.DUMMYFUNCTION("""COMPUTED_VALUE"""),"&lt;p&gt;&lt;strong&gt;3. &lt;/strong&gt;&lt;strong&gt;Question&lt;/strong&gt;&lt;/p&gt;&lt;p&gt;Is it possible to balance the seesaw using a total of 3 objects on the seesaw? If so, then describe exactly how in the space below.&lt;/p&gt;")</f>
        <v>&lt;p&gt;&lt;strong&gt;3. &lt;/strong&gt;&lt;strong&gt;Question&lt;/strong&gt;&lt;/p&gt;&lt;p&gt;Is it possible to balance the seesaw using a total of 3 objects on the seesaw? If so, then describe exactly how in the space below.&lt;/p&gt;</v>
      </c>
      <c r="E4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48" s="7"/>
      <c r="G48" s="8"/>
      <c r="H48" s="8"/>
      <c r="I48" s="8"/>
      <c r="J48" s="8"/>
      <c r="K48" s="9"/>
      <c r="L48" s="9"/>
      <c r="M48" s="9"/>
      <c r="N48" s="9"/>
      <c r="O48" s="10"/>
      <c r="P48" s="10"/>
      <c r="Q48" s="10"/>
      <c r="R48" s="10"/>
      <c r="S48" s="10"/>
    </row>
    <row r="49" spans="1:19" ht="229" customHeight="1" x14ac:dyDescent="0.2">
      <c r="A49" s="6" t="str">
        <f ca="1">IFERROR(__xludf.DUMMYFUNCTION("""COMPUTED_VALUE"""),"How do light and temperature affect photosynthesis in plants? - Version A")</f>
        <v>How do light and temperature affect photosynthesis in plants? - Version A</v>
      </c>
      <c r="B49" s="6" t="str">
        <f ca="1">IFERROR(__xludf.DUMMYFUNCTION("""COMPUTED_VALUE"""),"Resource")</f>
        <v>Resource</v>
      </c>
      <c r="C49" s="6" t="str">
        <f ca="1">IFERROR(__xludf.DUMMYFUNCTION("""COMPUTED_VALUE"""),"Text 4.graasp")</f>
        <v>Text 4.graasp</v>
      </c>
      <c r="D49" s="7" t="str">
        <f ca="1">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v>
      </c>
      <c r="E49" s="7" t="str">
        <f ca="1">IFERROR(__xludf.DUMMYFUNCTION("""COMPUTED_VALUE"""),"No artifact embedded")</f>
        <v>No artifact embedded</v>
      </c>
      <c r="F49" s="7"/>
      <c r="G49" s="8"/>
      <c r="H49" s="8"/>
      <c r="I49" s="8"/>
      <c r="J49" s="8"/>
      <c r="K49" s="9"/>
      <c r="L49" s="9"/>
      <c r="M49" s="9"/>
      <c r="N49" s="9"/>
      <c r="O49" s="10"/>
      <c r="P49" s="10"/>
      <c r="Q49" s="10"/>
      <c r="R49" s="10"/>
      <c r="S49" s="10"/>
    </row>
    <row r="50" spans="1:19" ht="25" customHeight="1" x14ac:dyDescent="0.2">
      <c r="A50" s="6" t="str">
        <f ca="1">IFERROR(__xludf.DUMMYFUNCTION("""COMPUTED_VALUE"""),"How do light and temperature affect photosynthesis in plants? - Version A")</f>
        <v>How do light and temperature affect photosynthesis in plants? - Version A</v>
      </c>
      <c r="B50" s="6" t="str">
        <f ca="1">IFERROR(__xludf.DUMMYFUNCTION("""COMPUTED_VALUE"""),"Space")</f>
        <v>Space</v>
      </c>
      <c r="C50" s="6" t="str">
        <f ca="1">IFERROR(__xludf.DUMMYFUNCTION("""COMPUTED_VALUE"""),"Intro")</f>
        <v>Intro</v>
      </c>
      <c r="D50" s="7" t="str">
        <f ca="1">IFERROR(__xludf.DUMMYFUNCTION("""COMPUTED_VALUE"""),"No task description")</f>
        <v>No task description</v>
      </c>
      <c r="E50" s="7" t="str">
        <f ca="1">IFERROR(__xludf.DUMMYFUNCTION("""COMPUTED_VALUE"""),"No artifact embedded")</f>
        <v>No artifact embedded</v>
      </c>
      <c r="F50" s="7"/>
      <c r="G50" s="8"/>
      <c r="H50" s="8"/>
      <c r="I50" s="8"/>
      <c r="J50" s="8"/>
      <c r="K50" s="9"/>
      <c r="L50" s="9"/>
      <c r="M50" s="9"/>
      <c r="N50" s="9"/>
      <c r="O50" s="10"/>
      <c r="P50" s="10"/>
      <c r="Q50" s="10"/>
      <c r="R50" s="10"/>
      <c r="S50" s="10"/>
    </row>
    <row r="51" spans="1:19" ht="318" customHeight="1" x14ac:dyDescent="0.2">
      <c r="A51" s="6" t="str">
        <f ca="1">IFERROR(__xludf.DUMMYFUNCTION("""COMPUTED_VALUE"""),"How do light and temperature affect photosynthesis in plants? - Version A")</f>
        <v>How do light and temperature affect photosynthesis in plants? - Version A</v>
      </c>
      <c r="B51" s="6" t="str">
        <f ca="1">IFERROR(__xludf.DUMMYFUNCTION("""COMPUTED_VALUE"""),"Resource")</f>
        <v>Resource</v>
      </c>
      <c r="C51" s="6" t="str">
        <f ca="1">IFERROR(__xludf.DUMMYFUNCTION("""COMPUTED_VALUE"""),"Teooria.graasp")</f>
        <v>Teooria.graasp</v>
      </c>
      <c r="D51" s="7" t="str">
        <f ca="1">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&lt;p&gt;&lt;strong&gt;Introduction&lt;/strong&gt;&lt;br&gt;&lt;/p&gt;&lt;p&gt;Plants need light to survive. Plants make their own food from light energy, carbon dioxide, water, nutrients and minerals. The process by which plants use light energy to make their own food is called photosynthesis. During photosynthesis plants produce and release oxygen as a byproduct. Photosynthesis occurs in the green parts of plants.&lt;/p&gt;</v>
      </c>
      <c r="E51" s="7" t="str">
        <f ca="1">IFERROR(__xludf.DUMMYFUNCTION("""COMPUTED_VALUE"""),"No artifact embedded")</f>
        <v>No artifact embedded</v>
      </c>
      <c r="F51" s="7"/>
      <c r="G51" s="8"/>
      <c r="H51" s="8"/>
      <c r="I51" s="8"/>
      <c r="J51" s="8"/>
      <c r="K51" s="9"/>
      <c r="L51" s="9"/>
      <c r="M51" s="9"/>
      <c r="N51" s="9"/>
      <c r="O51" s="10"/>
      <c r="P51" s="10"/>
      <c r="Q51" s="10"/>
      <c r="R51" s="10"/>
      <c r="S51" s="10"/>
    </row>
    <row r="52" spans="1:19" ht="109" customHeight="1" x14ac:dyDescent="0.2">
      <c r="A52" s="6" t="str">
        <f ca="1">IFERROR(__xludf.DUMMYFUNCTION("""COMPUTED_VALUE"""),"How do light and temperature affect photosynthesis in plants? - Version A")</f>
        <v>How do light and temperature affect photosynthesis in plants? - Version A</v>
      </c>
      <c r="B52" s="6" t="str">
        <f ca="1">IFERROR(__xludf.DUMMYFUNCTION("""COMPUTED_VALUE"""),"Resource")</f>
        <v>Resource</v>
      </c>
      <c r="C52" s="6" t="str">
        <f ca="1">IFERROR(__xludf.DUMMYFUNCTION("""COMPUTED_VALUE"""),"photosynthesis.jpg")</f>
        <v>photosynthesis.jpg</v>
      </c>
      <c r="D52" s="7" t="str">
        <f ca="1">IFERROR(__xludf.DUMMYFUNCTION("""COMPUTED_VALUE"""),"CARBON DIOXIDE _—v .7 WATER &amp; MINERALS")</f>
        <v>CARBON DIOXIDE _—v .7 WATER &amp; MINERALS</v>
      </c>
      <c r="E52"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52" s="7"/>
      <c r="G52" s="8"/>
      <c r="H52" s="8"/>
      <c r="I52" s="8"/>
      <c r="J52" s="8"/>
      <c r="K52" s="9"/>
      <c r="L52" s="9"/>
      <c r="M52" s="9"/>
      <c r="N52" s="9"/>
      <c r="O52" s="10"/>
      <c r="P52" s="10"/>
      <c r="Q52" s="10"/>
      <c r="R52" s="10"/>
      <c r="S52" s="10"/>
    </row>
    <row r="53" spans="1:19" ht="409.5" customHeight="1" x14ac:dyDescent="0.2">
      <c r="A53" s="6" t="str">
        <f ca="1">IFERROR(__xludf.DUMMYFUNCTION("""COMPUTED_VALUE"""),"How do light and temperature affect photosynthesis in plants? - Version A")</f>
        <v>How do light and temperature affect photosynthesis in plants? - Version A</v>
      </c>
      <c r="B53" s="6" t="str">
        <f ca="1">IFERROR(__xludf.DUMMYFUNCTION("""COMPUTED_VALUE"""),"Resource")</f>
        <v>Resource</v>
      </c>
      <c r="C53" s="6" t="str">
        <f ca="1">IFERROR(__xludf.DUMMYFUNCTION("""COMPUTED_VALUE"""),"Veetaimedest.graasp")</f>
        <v>Veetaimedest.graasp</v>
      </c>
      <c r="D53" s="7" t="str">
        <f ca="1">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&lt;p&gt;Plants in water (aquatic plants) also need light to make their own water. Aquatic plants absorb carbon dioxide, water and minerals directly from the surrounding water. Photosynthesis in aquatic plants produces nutrients for plants and releases oxygen into the water, which, for example, fish need to breathe. Temperature is also an important factor for photosynthesis. &lt;/p&gt;&lt;hr&gt;&lt;p&gt;To check your knowledge, perform the following quiz.&lt;/p&gt;&lt;p&gt;IMPORTANT! You can answer each question only once and each question has only one correct response.&lt;/p&gt;</v>
      </c>
      <c r="E53" s="7" t="str">
        <f ca="1">IFERROR(__xludf.DUMMYFUNCTION("""COMPUTED_VALUE"""),"No artifact embedded")</f>
        <v>No artifact embedded</v>
      </c>
      <c r="F53" s="7"/>
      <c r="G53" s="8"/>
      <c r="H53" s="8"/>
      <c r="I53" s="8"/>
      <c r="J53" s="8"/>
      <c r="K53" s="9"/>
      <c r="L53" s="9"/>
      <c r="M53" s="9"/>
      <c r="N53" s="9"/>
      <c r="O53" s="10"/>
      <c r="P53" s="10"/>
      <c r="Q53" s="10"/>
      <c r="R53" s="10"/>
      <c r="S53" s="10"/>
    </row>
    <row r="54" spans="1:19" ht="274" customHeight="1" x14ac:dyDescent="0.2">
      <c r="A54" s="6" t="str">
        <f ca="1">IFERROR(__xludf.DUMMYFUNCTION("""COMPUTED_VALUE"""),"How do light and temperature affect photosynthesis in plants? - Version A")</f>
        <v>How do light and temperature affect photosynthesis in plants? - Version A</v>
      </c>
      <c r="B54" s="6" t="str">
        <f ca="1">IFERROR(__xludf.DUMMYFUNCTION("""COMPUTED_VALUE"""),"Application")</f>
        <v>Application</v>
      </c>
      <c r="C54" s="6" t="str">
        <f ca="1">IFERROR(__xludf.DUMMYFUNCTION("""COMPUTED_VALUE"""),"Quiz Tool")</f>
        <v>Quiz Tool</v>
      </c>
      <c r="D54" s="7" t="str">
        <f ca="1">IFERROR(__xludf.DUMMYFUNCTION("""COMPUTED_VALUE"""),"No task description")</f>
        <v>No task description</v>
      </c>
      <c r="E54"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54" s="7"/>
      <c r="G54" s="8"/>
      <c r="H54" s="8"/>
      <c r="I54" s="8"/>
      <c r="J54" s="8"/>
      <c r="K54" s="9"/>
      <c r="L54" s="9"/>
      <c r="M54" s="9"/>
      <c r="N54" s="9"/>
      <c r="O54" s="10"/>
      <c r="P54" s="10"/>
      <c r="Q54" s="10"/>
      <c r="R54" s="10"/>
      <c r="S54" s="10"/>
    </row>
    <row r="55" spans="1:19" ht="157" customHeight="1" x14ac:dyDescent="0.2">
      <c r="A55" s="6" t="str">
        <f ca="1">IFERROR(__xludf.DUMMYFUNCTION("""COMPUTED_VALUE"""),"How do light and temperature affect photosynthesis in plants? - Version A")</f>
        <v>How do light and temperature affect photosynthesis in plants? - Version A</v>
      </c>
      <c r="B55" s="6" t="str">
        <f ca="1">IFERROR(__xludf.DUMMYFUNCTION("""COMPUTED_VALUE"""),"Resource")</f>
        <v>Resource</v>
      </c>
      <c r="C55" s="6" t="str">
        <f ca="1">IFERROR(__xludf.DUMMYFUNCTION("""COMPUTED_VALUE"""),"Edasi juhatus.graasp")</f>
        <v>Edasi juhatus.graasp</v>
      </c>
      <c r="D55" s="7" t="str">
        <f ca="1">IFERROR(__xludf.DUMMYFUNCTION("""COMPUTED_VALUE"""),"&lt;p&gt;Next you will explore how light and season of year affect photosynthesis in aquarium plants. Click on the tab &lt;strong&gt;Explore&lt;/strong&gt; at the top of your screen.&lt;/p&gt;&lt;p&gt;&lt;br&gt;&lt;/p&gt;&lt;p&gt;&lt;br&gt;&lt;/p&gt;")</f>
        <v>&lt;p&gt;Next you will explore how light and season of year affect photosynthesis in aquarium plants. Click on the tab &lt;strong&gt;Explore&lt;/strong&gt; at the top of your screen.&lt;/p&gt;&lt;p&gt;&lt;br&gt;&lt;/p&gt;&lt;p&gt;&lt;br&gt;&lt;/p&gt;</v>
      </c>
      <c r="E55" s="7" t="str">
        <f ca="1">IFERROR(__xludf.DUMMYFUNCTION("""COMPUTED_VALUE"""),"No artifact embedded")</f>
        <v>No artifact embedded</v>
      </c>
      <c r="F55" s="7"/>
      <c r="G55" s="8"/>
      <c r="H55" s="8"/>
      <c r="I55" s="8"/>
      <c r="J55" s="8"/>
      <c r="K55" s="9"/>
      <c r="L55" s="9"/>
      <c r="M55" s="9"/>
      <c r="N55" s="9"/>
      <c r="O55" s="10"/>
      <c r="P55" s="10"/>
      <c r="Q55" s="10"/>
      <c r="R55" s="10"/>
      <c r="S55" s="10"/>
    </row>
    <row r="56" spans="1:19" ht="25" customHeight="1" x14ac:dyDescent="0.2">
      <c r="A56" s="6" t="str">
        <f ca="1">IFERROR(__xludf.DUMMYFUNCTION("""COMPUTED_VALUE"""),"How do light and temperature affect photosynthesis in plants? - Version A")</f>
        <v>How do light and temperature affect photosynthesis in plants? - Version A</v>
      </c>
      <c r="B56" s="6" t="str">
        <f ca="1">IFERROR(__xludf.DUMMYFUNCTION("""COMPUTED_VALUE"""),"Space")</f>
        <v>Space</v>
      </c>
      <c r="C56" s="6" t="str">
        <f ca="1">IFERROR(__xludf.DUMMYFUNCTION("""COMPUTED_VALUE"""),"Explore")</f>
        <v>Explore</v>
      </c>
      <c r="D56" s="7" t="str">
        <f ca="1">IFERROR(__xludf.DUMMYFUNCTION("""COMPUTED_VALUE"""),"No task description")</f>
        <v>No task description</v>
      </c>
      <c r="E56" s="7" t="str">
        <f ca="1">IFERROR(__xludf.DUMMYFUNCTION("""COMPUTED_VALUE"""),"No artifact embedded")</f>
        <v>No artifact embedded</v>
      </c>
      <c r="F56" s="7"/>
      <c r="G56" s="8"/>
      <c r="H56" s="8"/>
      <c r="I56" s="8"/>
      <c r="J56" s="8"/>
      <c r="K56" s="9"/>
      <c r="L56" s="9"/>
      <c r="M56" s="9"/>
      <c r="N56" s="9"/>
      <c r="O56" s="10"/>
      <c r="P56" s="10"/>
      <c r="Q56" s="10"/>
      <c r="R56" s="10"/>
      <c r="S56" s="10"/>
    </row>
    <row r="57" spans="1:19" ht="85" customHeight="1" x14ac:dyDescent="0.2">
      <c r="A57" s="6" t="str">
        <f ca="1">IFERROR(__xludf.DUMMYFUNCTION("""COMPUTED_VALUE"""),"How do light and temperature affect photosynthesis in plants? - Version A")</f>
        <v>How do light and temperature affect photosynthesis in plants? - Version A</v>
      </c>
      <c r="B57" s="6" t="str">
        <f ca="1">IFERROR(__xludf.DUMMYFUNCTION("""COMPUTED_VALUE"""),"Resource")</f>
        <v>Resource</v>
      </c>
      <c r="C57" s="6" t="str">
        <f ca="1">IFERROR(__xludf.DUMMYFUNCTION("""COMPUTED_VALUE"""),"elodea.gif")</f>
        <v>elodea.gif</v>
      </c>
      <c r="D57" s="7" t="str">
        <f ca="1">IFERROR(__xludf.DUMMYFUNCTION("""COMPUTED_VALUE"""),"No task description")</f>
        <v>No task description</v>
      </c>
      <c r="E57" s="7" t="str">
        <f ca="1">IFERROR(__xludf.DUMMYFUNCTION("""COMPUTED_VALUE"""),"image/gif – An animated or static graphic using the GIF format, often seen in memes and web animations.")</f>
        <v>image/gif – An animated or static graphic using the GIF format, often seen in memes and web animations.</v>
      </c>
      <c r="F57" s="7"/>
      <c r="G57" s="8"/>
      <c r="H57" s="8"/>
      <c r="I57" s="8"/>
      <c r="J57" s="8"/>
      <c r="K57" s="9"/>
      <c r="L57" s="9"/>
      <c r="M57" s="9"/>
      <c r="N57" s="9"/>
      <c r="O57" s="10"/>
      <c r="P57" s="10"/>
      <c r="Q57" s="10"/>
      <c r="R57" s="10"/>
      <c r="S57" s="10"/>
    </row>
    <row r="58" spans="1:19" ht="49" customHeight="1" x14ac:dyDescent="0.2">
      <c r="A58" s="6" t="str">
        <f ca="1">IFERROR(__xludf.DUMMYFUNCTION("""COMPUTED_VALUE"""),"How do light and temperature affect photosynthesis in plants? - Version A")</f>
        <v>How do light and temperature affect photosynthesis in plants? - Version A</v>
      </c>
      <c r="B58" s="6" t="str">
        <f ca="1">IFERROR(__xludf.DUMMYFUNCTION("""COMPUTED_VALUE"""),"Resource")</f>
        <v>Resource</v>
      </c>
      <c r="C58" s="6" t="str">
        <f ca="1">IFERROR(__xludf.DUMMYFUNCTION("""COMPUTED_VALUE"""),"tekst4.graasp")</f>
        <v>tekst4.graasp</v>
      </c>
      <c r="D58" s="7" t="str">
        <f ca="1">IFERROR(__xludf.DUMMYFUNCTION("""COMPUTED_VALUE"""),"&lt;p&gt;Look at the video clip and answer these questions.&lt;/p&gt;")</f>
        <v>&lt;p&gt;Look at the video clip and answer these questions.&lt;/p&gt;</v>
      </c>
      <c r="E58" s="7" t="str">
        <f ca="1">IFERROR(__xludf.DUMMYFUNCTION("""COMPUTED_VALUE"""),"No artifact embedded")</f>
        <v>No artifact embedded</v>
      </c>
      <c r="F58" s="7"/>
      <c r="G58" s="8"/>
      <c r="H58" s="8"/>
      <c r="I58" s="8"/>
      <c r="J58" s="8"/>
      <c r="K58" s="9"/>
      <c r="L58" s="9"/>
      <c r="M58" s="9"/>
      <c r="N58" s="9"/>
      <c r="O58" s="10"/>
      <c r="P58" s="10"/>
      <c r="Q58" s="10"/>
      <c r="R58" s="10"/>
      <c r="S58" s="10"/>
    </row>
    <row r="59" spans="1:19" ht="274" customHeight="1" x14ac:dyDescent="0.2">
      <c r="A59" s="6" t="str">
        <f ca="1">IFERROR(__xludf.DUMMYFUNCTION("""COMPUTED_VALUE"""),"How do light and temperature affect photosynthesis in plants? - Version A")</f>
        <v>How do light and temperature affect photosynthesis in plants? - Version A</v>
      </c>
      <c r="B59" s="6" t="str">
        <f ca="1">IFERROR(__xludf.DUMMYFUNCTION("""COMPUTED_VALUE"""),"Application")</f>
        <v>Application</v>
      </c>
      <c r="C59" s="6" t="str">
        <f ca="1">IFERROR(__xludf.DUMMYFUNCTION("""COMPUTED_VALUE"""),"Quiz Tool")</f>
        <v>Quiz Tool</v>
      </c>
      <c r="D59" s="7" t="str">
        <f ca="1">IFERROR(__xludf.DUMMYFUNCTION("""COMPUTED_VALUE"""),"No task description")</f>
        <v>No task description</v>
      </c>
      <c r="E59"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59" s="7"/>
      <c r="G59" s="8"/>
      <c r="H59" s="8"/>
      <c r="I59" s="8"/>
      <c r="J59" s="8"/>
      <c r="K59" s="9"/>
      <c r="L59" s="9"/>
      <c r="M59" s="9"/>
      <c r="N59" s="9"/>
      <c r="O59" s="10"/>
      <c r="P59" s="10"/>
      <c r="Q59" s="10"/>
      <c r="R59" s="10"/>
      <c r="S59" s="10"/>
    </row>
    <row r="60" spans="1:19" ht="409.5" customHeight="1" x14ac:dyDescent="0.2">
      <c r="A60" s="6" t="str">
        <f ca="1">IFERROR(__xludf.DUMMYFUNCTION("""COMPUTED_VALUE"""),"How do light and temperature affect photosynthesis in plants? - Version A")</f>
        <v>How do light and temperature affect photosynthesis in plants? - Version A</v>
      </c>
      <c r="B60" s="6" t="str">
        <f ca="1">IFERROR(__xludf.DUMMYFUNCTION("""COMPUTED_VALUE"""),"Resource")</f>
        <v>Resource</v>
      </c>
      <c r="C60" s="6" t="str">
        <f ca="1">IFERROR(__xludf.DUMMYFUNCTION("""COMPUTED_VALUE"""),"Text 1.graasp")</f>
        <v>Text 1.graasp</v>
      </c>
      <c r="D60" s="7" t="str">
        <f ca="1">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&lt;hr&gt;&lt;p&gt;In this task you will collaborate together with a partner to solve a problem. The task has three parts:&lt;/p&gt;&lt;p style="margin-left: 40px;"&gt;1) a simulation that both you and your partner can partially control;&lt;br&gt;2) a chat application to communicate with your partner;&lt;br&gt;3) two questions for you to answer:&lt;/p&gt;&lt;ul&gt;&lt;ul&gt;&lt;li&gt;How does photosynthesis in aquarium plants depend on &lt;strong&gt;light intensity&lt;/strong&gt;?&lt;/li&gt;&lt;li&gt;How does photosynthesis in aquarium plants depend on the &lt;strong&gt;season of the year&lt;/strong&gt;?&lt;/li&gt;&lt;/ul&gt;&lt;/ul&gt;Once you have answer the two questions, this task is complete.</v>
      </c>
      <c r="E60" s="7" t="str">
        <f ca="1">IFERROR(__xludf.DUMMYFUNCTION("""COMPUTED_VALUE"""),"No artifact embedded")</f>
        <v>No artifact embedded</v>
      </c>
      <c r="F60" s="7"/>
      <c r="G60" s="8"/>
      <c r="H60" s="8"/>
      <c r="I60" s="8"/>
      <c r="J60" s="8"/>
      <c r="K60" s="9"/>
      <c r="L60" s="9"/>
      <c r="M60" s="9"/>
      <c r="N60" s="9"/>
      <c r="O60" s="10"/>
      <c r="P60" s="10"/>
      <c r="Q60" s="10"/>
      <c r="R60" s="10"/>
      <c r="S60" s="10"/>
    </row>
    <row r="61" spans="1:19" ht="362" customHeight="1" x14ac:dyDescent="0.2">
      <c r="A61" s="6" t="str">
        <f ca="1">IFERROR(__xludf.DUMMYFUNCTION("""COMPUTED_VALUE"""),"How do light and temperature affect photosynthesis in plants? - Version A")</f>
        <v>How do light and temperature affect photosynthesis in plants? - Version A</v>
      </c>
      <c r="B61" s="6" t="str">
        <f ca="1">IFERROR(__xludf.DUMMYFUNCTION("""COMPUTED_VALUE"""),"Resource")</f>
        <v>Resource</v>
      </c>
      <c r="C61" s="6" t="str">
        <f ca="1">IFERROR(__xludf.DUMMYFUNCTION("""COMPUTED_VALUE"""),"instructions for the simulation and chat app.graasp")</f>
        <v>instructions for the simulation and chat app.graasp</v>
      </c>
      <c r="D61" s="7" t="str">
        <f ca="1">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&lt;p&gt;&lt;strong&gt;1. Instructions for the simulation and chat app&lt;/strong&gt;&lt;/p&gt;&lt;p&gt;A. Your teacher has assigned you a number that you will use to open the simulation. Please enter this number in the text box labeled "Enter your chat room number" and click on the button "Join". &lt;/p&gt;&lt;p&gt;B. To open the chat application, enter the same number you used to open the simulation into the second text box labeled "Room number." Then click on the "Join existing room" button.&lt;/p&gt;</v>
      </c>
      <c r="E61" s="7" t="str">
        <f ca="1">IFERROR(__xludf.DUMMYFUNCTION("""COMPUTED_VALUE"""),"No artifact embedded")</f>
        <v>No artifact embedded</v>
      </c>
      <c r="F61" s="7"/>
      <c r="G61" s="8"/>
      <c r="H61" s="8"/>
      <c r="I61" s="8"/>
      <c r="J61" s="8"/>
      <c r="K61" s="9"/>
      <c r="L61" s="9"/>
      <c r="M61" s="9"/>
      <c r="N61" s="9"/>
      <c r="O61" s="10"/>
      <c r="P61" s="10"/>
      <c r="Q61" s="10"/>
      <c r="R61" s="10"/>
      <c r="S61" s="10"/>
    </row>
    <row r="62" spans="1:19" ht="409.5" customHeight="1" x14ac:dyDescent="0.2">
      <c r="A62" s="6" t="str">
        <f ca="1">IFERROR(__xludf.DUMMYFUNCTION("""COMPUTED_VALUE"""),"How do light and temperature affect photosynthesis in plants? - Version A")</f>
        <v>How do light and temperature affect photosynthesis in plants? - Version A</v>
      </c>
      <c r="B62" s="6" t="str">
        <f ca="1">IFERROR(__xludf.DUMMYFUNCTION("""COMPUTED_VALUE"""),"Application")</f>
        <v>Application</v>
      </c>
      <c r="C62" s="6" t="str">
        <f ca="1">IFERROR(__xludf.DUMMYFUNCTION("""COMPUTED_VALUE"""),"Rate of Photosynthesis Lab - only season control")</f>
        <v>Rate of Photosynthesis Lab - only season control</v>
      </c>
      <c r="D62" s="7" t="str">
        <f ca="1">IFERROR(__xludf.DUMMYFUNCTION("""COMPUTED_VALUE"""),"No task description")</f>
        <v>No task description</v>
      </c>
      <c r="E62" s="7" t="str">
        <f ca="1">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Golabz app/lab: `&lt;p&gt;Students working at a distance in two different ILSs share a simulation similar to the &lt;a href="https://www.golabz.eu/lab/rate-of-photosynthesis-lab-html5"&gt;Rate of Photosynthesis Lab&lt;/a&gt;, but are able to&amp;nbsp;control only one of two variables (lamp intensity or the season of the year). Changes made in one version of the simulation are simultaneously shown in the other version. The season of the year variable is a distractor option. It does not influence the rate of photosynthesis because the aquarium plant is indoors&amp;nbsp;and its water temperature does not change.&lt;/p&gt;\r\n\r\n&lt;p&gt;&lt;strong&gt;Teaching Tips: &lt;/strong&gt;&lt;/p&gt;\r\n\r\n&lt;p&gt;This lab is primarily aimed at promoting collaborative problem solving skills. It is suggested that the ILS for students using the version with lamp intensity controls ask students to answer the question ‘How does the rate of photosynthesize depend on the season of the year?’ Similarly, the ILS for students using the version of the simulation with season of the year controls should ask students to answer the question 'How does the rate of photosynthesize depend on lamp intensity?'&amp;nbsp;In this way both groups of students can only succeed if they synchronize their actions and collaborate to answer their respective questions. For collaboration via text-based messaging&amp;nbsp;it is suggested to use the SpeakUp app in the ILSs.&lt;/p&gt;\r\n\r\n&lt;p&gt;&lt;strong&gt;Instructions for use: &lt;/strong&gt;&lt;/p&gt;\r\n\r\n&lt;p&gt;1.) When you click on the "Create&amp;nbsp;Space" button you will create an ILS that has two versions of the Collaborative Rate of Photosynthesis Lab&amp;nbsp;in the investigation phase. The version labeled ‘Rate of Photosynthesis Lab -&amp;nbsp;only light intensity control’ will&amp;nbsp;allow a user to adjust only the light intensity in the simulation. The version labeled ‘Rate of Photosynthesis Lab -&amp;nbsp;only season control’&amp;nbsp;allows a user to adjust only the season of the year.&lt;/p&gt;\r\n\r\n&lt;p&gt;2.) Because two versions of the lab are created you should delete one of them and rename your ILS appropriately (e.g., Rate of Photosynthesis Lab - Version A). Then return to the Collaborative Rate of Photosynthesis Lab page at Golabz and click again the button "Create Space". This will create a new ILS with the two versions of the simulation. Simply delete the version of the lab for which you already have an ILS of and rename the new ILS appropriately (e.g., Rate of Photosynthesis Lab - Version B).&lt;/p&gt;\r\n\r\n&lt;p&gt;3.) The Collaborative Rate of Photosynthesis Lab&amp;nbsp;is meant to be used together with a chat tool, such as the &lt;a href="https://www.golabz.eu/app/speakup"&gt;SpeakUP app&lt;/a&gt;, so that students can communicate with each other. Include the SpeakUP app preferably before the lab. To use the SpeakUP app, students are required to enter a common room number or create a room and share the number of the room with the other student(s). As a teacher you can also create multiple room numbers using the SpeakUP app and assign them to students as you like. This will allow you to access their chat transcripts later to read how they communicated with each other. The Collaborative Rate of Photosynthesis Lab&amp;nbsp;starts by asking users to enter a chat room number (which users of the SpeakUP already have). As long as two users enter the same room number they will then share the same simulation. Please instruct your students in the ILS that they will not see the lab without a chat room number.&lt;/p&gt;\r\n`</v>
      </c>
      <c r="F62" s="7"/>
      <c r="G62" s="8"/>
      <c r="H62" s="8"/>
      <c r="I62" s="8"/>
      <c r="J62" s="8"/>
      <c r="K62" s="9"/>
      <c r="L62" s="9"/>
      <c r="M62" s="9"/>
      <c r="N62" s="9"/>
      <c r="O62" s="10"/>
      <c r="P62" s="10"/>
      <c r="Q62" s="10"/>
      <c r="R62" s="10"/>
      <c r="S62" s="10"/>
    </row>
    <row r="63" spans="1:19" ht="97" customHeight="1" x14ac:dyDescent="0.2">
      <c r="A63" s="6" t="str">
        <f ca="1">IFERROR(__xludf.DUMMYFUNCTION("""COMPUTED_VALUE"""),"How do light and temperature affect photosynthesis in plants? - Version A")</f>
        <v>How do light and temperature affect photosynthesis in plants? - Version A</v>
      </c>
      <c r="B63" s="6" t="str">
        <f ca="1">IFERROR(__xludf.DUMMYFUNCTION("""COMPUTED_VALUE"""),"Resource")</f>
        <v>Resource</v>
      </c>
      <c r="C63" s="6" t="str">
        <f ca="1">IFERROR(__xludf.DUMMYFUNCTION("""COMPUTED_VALUE"""),"tips.png")</f>
        <v>tips.png</v>
      </c>
      <c r="D63" s="7" t="str">
        <f ca="1">IFERROR(__xludf.DUMMYFUNCTION("""COMPUTED_VALUE"""),"No task description")</f>
        <v>No task description</v>
      </c>
      <c r="E63" s="7" t="str">
        <f ca="1">IFERROR(__xludf.DUMMYFUNCTION("""COMPUTED_VALUE"""),"image/png – A high-quality image with support for transparency, often used in design and web applications.")</f>
        <v>image/png – A high-quality image with support for transparency, often used in design and web applications.</v>
      </c>
      <c r="F63" s="7"/>
      <c r="G63" s="8"/>
      <c r="H63" s="8"/>
      <c r="I63" s="8"/>
      <c r="J63" s="8"/>
      <c r="K63" s="9"/>
      <c r="L63" s="9"/>
      <c r="M63" s="9"/>
      <c r="N63" s="9"/>
      <c r="O63" s="10"/>
      <c r="P63" s="10"/>
      <c r="Q63" s="10"/>
      <c r="R63" s="10"/>
      <c r="S63" s="10"/>
    </row>
    <row r="64" spans="1:19" ht="409.5" customHeight="1" x14ac:dyDescent="0.2">
      <c r="A64" s="6" t="str">
        <f ca="1">IFERROR(__xludf.DUMMYFUNCTION("""COMPUTED_VALUE"""),"How do light and temperature affect photosynthesis in plants? - Version A")</f>
        <v>How do light and temperature affect photosynthesis in plants? - Version A</v>
      </c>
      <c r="B64" s="6" t="str">
        <f ca="1">IFERROR(__xludf.DUMMYFUNCTION("""COMPUTED_VALUE"""),"Application")</f>
        <v>Application</v>
      </c>
      <c r="C64" s="6" t="str">
        <f ca="1">IFERROR(__xludf.DUMMYFUNCTION("""COMPUTED_VALUE"""),"SpeakUp")</f>
        <v>SpeakUp</v>
      </c>
      <c r="D64" s="7" t="str">
        <f ca="1">IFERROR(__xludf.DUMMYFUNCTION("""COMPUTED_VALUE"""),"No task description")</f>
        <v>No task description</v>
      </c>
      <c r="E64"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64" s="7"/>
      <c r="G64" s="8"/>
      <c r="H64" s="8"/>
      <c r="I64" s="8"/>
      <c r="J64" s="8"/>
      <c r="K64" s="9"/>
      <c r="L64" s="9"/>
      <c r="M64" s="9"/>
      <c r="N64" s="9"/>
      <c r="O64" s="10"/>
      <c r="P64" s="10"/>
      <c r="Q64" s="10"/>
      <c r="R64" s="10"/>
      <c r="S64" s="10"/>
    </row>
    <row r="65" spans="1:19" ht="37" customHeight="1" x14ac:dyDescent="0.2">
      <c r="A65" s="6" t="str">
        <f ca="1">IFERROR(__xludf.DUMMYFUNCTION("""COMPUTED_VALUE"""),"How do light and temperature affect photosynthesis in plants? - Version A")</f>
        <v>How do light and temperature affect photosynthesis in plants? - Version A</v>
      </c>
      <c r="B65" s="6" t="str">
        <f ca="1">IFERROR(__xludf.DUMMYFUNCTION("""COMPUTED_VALUE"""),"Resource")</f>
        <v>Resource</v>
      </c>
      <c r="C65" s="6" t="str">
        <f ca="1">IFERROR(__xludf.DUMMYFUNCTION("""COMPUTED_VALUE"""),"tekst2.graasp")</f>
        <v>tekst2.graasp</v>
      </c>
      <c r="D65" s="7" t="str">
        <f ca="1">IFERROR(__xludf.DUMMYFUNCTION("""COMPUTED_VALUE"""),"&lt;p&gt;&lt;strong&gt;QUESTIONS&lt;/strong&gt;&lt;/p&gt;")</f>
        <v>&lt;p&gt;&lt;strong&gt;QUESTIONS&lt;/strong&gt;&lt;/p&gt;</v>
      </c>
      <c r="E65" s="7" t="str">
        <f ca="1">IFERROR(__xludf.DUMMYFUNCTION("""COMPUTED_VALUE"""),"No artifact embedded")</f>
        <v>No artifact embedded</v>
      </c>
      <c r="F65" s="7"/>
      <c r="G65" s="8"/>
      <c r="H65" s="8"/>
      <c r="I65" s="8"/>
      <c r="J65" s="8"/>
      <c r="K65" s="9"/>
      <c r="L65" s="9"/>
      <c r="M65" s="9"/>
      <c r="N65" s="9"/>
      <c r="O65" s="10"/>
      <c r="P65" s="10"/>
      <c r="Q65" s="10"/>
      <c r="R65" s="10"/>
      <c r="S65" s="10"/>
    </row>
    <row r="66" spans="1:19" ht="318" customHeight="1" x14ac:dyDescent="0.2">
      <c r="A66" s="6" t="str">
        <f ca="1">IFERROR(__xludf.DUMMYFUNCTION("""COMPUTED_VALUE"""),"How do light and temperature affect photosynthesis in plants? - Version A")</f>
        <v>How do light and temperature affect photosynthesis in plants? - Version A</v>
      </c>
      <c r="B66" s="6" t="str">
        <f ca="1">IFERROR(__xludf.DUMMYFUNCTION("""COMPUTED_VALUE"""),"Application")</f>
        <v>Application</v>
      </c>
      <c r="C66" s="6" t="str">
        <f ca="1">IFERROR(__xludf.DUMMYFUNCTION("""COMPUTED_VALUE"""),"Input Box")</f>
        <v>Input Box</v>
      </c>
      <c r="D66" s="7" t="str">
        <f ca="1">IFERROR(__xludf.DUMMYFUNCTION("""COMPUTED_VALUE"""),"&lt;p&gt;1. How does photosynthesis in aquarium plants depend on light intensity?&lt;/p&gt;")</f>
        <v>&lt;p&gt;1. How does photosynthesis in aquarium plants depend on light intensity?&lt;/p&gt;</v>
      </c>
      <c r="E6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6" s="7"/>
      <c r="G66" s="8"/>
      <c r="H66" s="8"/>
      <c r="I66" s="8"/>
      <c r="J66" s="8"/>
      <c r="K66" s="9"/>
      <c r="L66" s="9"/>
      <c r="M66" s="9"/>
      <c r="N66" s="9"/>
      <c r="O66" s="10"/>
      <c r="P66" s="10"/>
      <c r="Q66" s="10"/>
      <c r="R66" s="10"/>
      <c r="S66" s="10"/>
    </row>
    <row r="67" spans="1:19" ht="318" customHeight="1" x14ac:dyDescent="0.2">
      <c r="A67" s="6" t="str">
        <f ca="1">IFERROR(__xludf.DUMMYFUNCTION("""COMPUTED_VALUE"""),"How do light and temperature affect photosynthesis in plants? - Version A")</f>
        <v>How do light and temperature affect photosynthesis in plants? - Version A</v>
      </c>
      <c r="B67" s="6" t="str">
        <f ca="1">IFERROR(__xludf.DUMMYFUNCTION("""COMPUTED_VALUE"""),"Application")</f>
        <v>Application</v>
      </c>
      <c r="C67" s="6" t="str">
        <f ca="1">IFERROR(__xludf.DUMMYFUNCTION("""COMPUTED_VALUE"""),"Input Box (1)")</f>
        <v>Input Box (1)</v>
      </c>
      <c r="D67" s="7" t="str">
        <f ca="1">IFERROR(__xludf.DUMMYFUNCTION("""COMPUTED_VALUE"""),"&lt;p&gt;2. How does photosynthesis in aquarium plants depend on the season of the year?&lt;/p&gt;")</f>
        <v>&lt;p&gt;2. How does photosynthesis in aquarium plants depend on the season of the year?&lt;/p&gt;</v>
      </c>
      <c r="E6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7" s="7"/>
      <c r="G67" s="8"/>
      <c r="H67" s="8"/>
      <c r="I67" s="8"/>
      <c r="J67" s="8"/>
      <c r="K67" s="9"/>
      <c r="L67" s="9"/>
      <c r="M67" s="9"/>
      <c r="N67" s="9"/>
      <c r="O67" s="10"/>
      <c r="P67" s="10"/>
      <c r="Q67" s="10"/>
      <c r="R67" s="10"/>
      <c r="S67" s="10"/>
    </row>
    <row r="68" spans="1:19" ht="252" customHeight="1" x14ac:dyDescent="0.2">
      <c r="A68" s="6" t="str">
        <f ca="1">IFERROR(__xludf.DUMMYFUNCTION("""COMPUTED_VALUE"""),"How do light and temperature affect photosynthesis in plants? - Version A")</f>
        <v>How do light and temperature affect photosynthesis in plants? - Version A</v>
      </c>
      <c r="B68" s="6" t="str">
        <f ca="1">IFERROR(__xludf.DUMMYFUNCTION("""COMPUTED_VALUE"""),"Resource")</f>
        <v>Resource</v>
      </c>
      <c r="C68" s="6" t="str">
        <f ca="1">IFERROR(__xludf.DUMMYFUNCTION("""COMPUTED_VALUE"""),"tekst3.graasp")</f>
        <v>tekst3.graasp</v>
      </c>
      <c r="D68" s="7" t="str">
        <f ca="1">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gt;&lt;/p&gt;&lt;p&gt;&lt;br&gt;&lt;/p&gt;&lt;p&gt;&lt;br&gt;&lt;/p&gt;&lt;p&gt;&lt;br&gt;&lt;/p&gt;</v>
      </c>
      <c r="E68" s="7" t="str">
        <f ca="1">IFERROR(__xludf.DUMMYFUNCTION("""COMPUTED_VALUE"""),"No artifact embedded")</f>
        <v>No artifact embedded</v>
      </c>
      <c r="F68" s="7"/>
      <c r="G68" s="8"/>
      <c r="H68" s="8"/>
      <c r="I68" s="8"/>
      <c r="J68" s="8"/>
      <c r="K68" s="9"/>
      <c r="L68" s="9"/>
      <c r="M68" s="9"/>
      <c r="N68" s="9"/>
      <c r="O68" s="10"/>
      <c r="P68" s="10"/>
      <c r="Q68" s="10"/>
      <c r="R68" s="10"/>
      <c r="S68" s="10"/>
    </row>
    <row r="69" spans="1:19" ht="25" customHeight="1" x14ac:dyDescent="0.2">
      <c r="A69" s="6" t="str">
        <f ca="1">IFERROR(__xludf.DUMMYFUNCTION("""COMPUTED_VALUE"""),"How do light and temperature affect photosynthesis in plants? - Version A")</f>
        <v>How do light and temperature affect photosynthesis in plants? - Version A</v>
      </c>
      <c r="B69" s="6" t="str">
        <f ca="1">IFERROR(__xludf.DUMMYFUNCTION("""COMPUTED_VALUE"""),"Space")</f>
        <v>Space</v>
      </c>
      <c r="C69" s="6" t="str">
        <f ca="1">IFERROR(__xludf.DUMMYFUNCTION("""COMPUTED_VALUE"""),"Reflection")</f>
        <v>Reflection</v>
      </c>
      <c r="D69" s="7" t="str">
        <f ca="1">IFERROR(__xludf.DUMMYFUNCTION("""COMPUTED_VALUE"""),"No task description")</f>
        <v>No task description</v>
      </c>
      <c r="E69" s="7" t="str">
        <f ca="1">IFERROR(__xludf.DUMMYFUNCTION("""COMPUTED_VALUE"""),"No artifact embedded")</f>
        <v>No artifact embedded</v>
      </c>
      <c r="F69" s="7"/>
      <c r="G69" s="8"/>
      <c r="H69" s="8"/>
      <c r="I69" s="8"/>
      <c r="J69" s="8"/>
      <c r="K69" s="9"/>
      <c r="L69" s="9"/>
      <c r="M69" s="9"/>
      <c r="N69" s="9"/>
      <c r="O69" s="10"/>
      <c r="P69" s="10"/>
      <c r="Q69" s="10"/>
      <c r="R69" s="10"/>
      <c r="S69" s="10"/>
    </row>
    <row r="70" spans="1:19" ht="61" customHeight="1" x14ac:dyDescent="0.2">
      <c r="A70" s="6" t="str">
        <f ca="1">IFERROR(__xludf.DUMMYFUNCTION("""COMPUTED_VALUE"""),"How do light and temperature affect photosynthesis in plants? - Version A")</f>
        <v>How do light and temperature affect photosynthesis in plants? - Version A</v>
      </c>
      <c r="B70" s="6" t="str">
        <f ca="1">IFERROR(__xludf.DUMMYFUNCTION("""COMPUTED_VALUE"""),"Resource")</f>
        <v>Resource</v>
      </c>
      <c r="C70" s="6" t="str">
        <f ca="1">IFERROR(__xludf.DUMMYFUNCTION("""COMPUTED_VALUE"""),"text1.graasp")</f>
        <v>text1.graasp</v>
      </c>
      <c r="D70" s="7" t="str">
        <f ca="1">IFERROR(__xludf.DUMMYFUNCTION("""COMPUTED_VALUE"""),"&lt;p&gt;Think about your collaborative experience and anwer these questions:&lt;/p&gt;")</f>
        <v>&lt;p&gt;Think about your collaborative experience and anwer these questions:&lt;/p&gt;</v>
      </c>
      <c r="E70" s="7" t="str">
        <f ca="1">IFERROR(__xludf.DUMMYFUNCTION("""COMPUTED_VALUE"""),"No artifact embedded")</f>
        <v>No artifact embedded</v>
      </c>
      <c r="F70" s="7"/>
      <c r="G70" s="8"/>
      <c r="H70" s="8"/>
      <c r="I70" s="8"/>
      <c r="J70" s="8"/>
      <c r="K70" s="9"/>
      <c r="L70" s="9"/>
      <c r="M70" s="9"/>
      <c r="N70" s="9"/>
      <c r="O70" s="10"/>
      <c r="P70" s="10"/>
      <c r="Q70" s="10"/>
      <c r="R70" s="10"/>
      <c r="S70" s="10"/>
    </row>
    <row r="71" spans="1:19" ht="318" customHeight="1" x14ac:dyDescent="0.2">
      <c r="A71" s="6" t="str">
        <f ca="1">IFERROR(__xludf.DUMMYFUNCTION("""COMPUTED_VALUE"""),"How do light and temperature affect photosynthesis in plants? - Version A")</f>
        <v>How do light and temperature affect photosynthesis in plants? - Version A</v>
      </c>
      <c r="B71" s="6" t="str">
        <f ca="1">IFERROR(__xludf.DUMMYFUNCTION("""COMPUTED_VALUE"""),"Application")</f>
        <v>Application</v>
      </c>
      <c r="C71" s="6" t="str">
        <f ca="1">IFERROR(__xludf.DUMMYFUNCTION("""COMPUTED_VALUE"""),"Input Box")</f>
        <v>Input Box</v>
      </c>
      <c r="D71" s="7" t="str">
        <f ca="1">IFERROR(__xludf.DUMMYFUNCTION("""COMPUTED_VALUE"""),"&lt;p&gt;1. What was most difficult when working collaboratively? Why?&lt;/p&gt;")</f>
        <v>&lt;p&gt;1. What was most difficult when working collaboratively? Why?&lt;/p&gt;</v>
      </c>
      <c r="E7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1" s="7"/>
      <c r="G71" s="8"/>
      <c r="H71" s="8"/>
      <c r="I71" s="8"/>
      <c r="J71" s="8"/>
      <c r="K71" s="9"/>
      <c r="L71" s="9"/>
      <c r="M71" s="9"/>
      <c r="N71" s="9"/>
      <c r="O71" s="10"/>
      <c r="P71" s="10"/>
      <c r="Q71" s="10"/>
      <c r="R71" s="10"/>
      <c r="S71" s="10"/>
    </row>
    <row r="72" spans="1:19" ht="318" customHeight="1" x14ac:dyDescent="0.2">
      <c r="A72" s="6" t="str">
        <f ca="1">IFERROR(__xludf.DUMMYFUNCTION("""COMPUTED_VALUE"""),"How do light and temperature affect photosynthesis in plants? - Version A")</f>
        <v>How do light and temperature affect photosynthesis in plants? - Version A</v>
      </c>
      <c r="B72" s="6" t="str">
        <f ca="1">IFERROR(__xludf.DUMMYFUNCTION("""COMPUTED_VALUE"""),"Application")</f>
        <v>Application</v>
      </c>
      <c r="C72" s="6" t="str">
        <f ca="1">IFERROR(__xludf.DUMMYFUNCTION("""COMPUTED_VALUE"""),"Input Box (1)")</f>
        <v>Input Box (1)</v>
      </c>
      <c r="D72" s="7" t="str">
        <f ca="1">IFERROR(__xludf.DUMMYFUNCTION("""COMPUTED_VALUE"""),"&lt;p&gt;2. What would you do differently next time you have to solve a similar collaborative task?&lt;/p&gt;")</f>
        <v>&lt;p&gt;2. What would you do differently next time you have to solve a similar collaborative task?&lt;/p&gt;</v>
      </c>
      <c r="E7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2" s="7"/>
      <c r="G72" s="8"/>
      <c r="H72" s="8"/>
      <c r="I72" s="8"/>
      <c r="J72" s="8"/>
      <c r="K72" s="9"/>
      <c r="L72" s="9"/>
      <c r="M72" s="9"/>
      <c r="N72" s="9"/>
      <c r="O72" s="10"/>
      <c r="P72" s="10"/>
      <c r="Q72" s="10"/>
      <c r="R72" s="10"/>
      <c r="S72" s="10"/>
    </row>
    <row r="73" spans="1:19" ht="85" customHeight="1" x14ac:dyDescent="0.2">
      <c r="A73" s="6" t="str">
        <f ca="1">IFERROR(__xludf.DUMMYFUNCTION("""COMPUTED_VALUE"""),"How do light and temperature affect photosynthesis in plants? - Version A")</f>
        <v>How do light and temperature affect photosynthesis in plants? - Version A</v>
      </c>
      <c r="B73" s="6" t="str">
        <f ca="1">IFERROR(__xludf.DUMMYFUNCTION("""COMPUTED_VALUE"""),"Resource")</f>
        <v>Resource</v>
      </c>
      <c r="C73" s="6" t="str">
        <f ca="1">IFERROR(__xludf.DUMMYFUNCTION("""COMPUTED_VALUE"""),"text2.graasp")</f>
        <v>text2.graasp</v>
      </c>
      <c r="D73" s="7" t="str">
        <f ca="1">IFERROR(__xludf.DUMMYFUNCTION("""COMPUTED_VALUE"""),"&lt;p&gt;After both of the questions you can continue to the next phase called &lt;strong&gt;Predict&lt;/strong&gt;.&lt;/p&gt;")</f>
        <v>&lt;p&gt;After both of the questions you can continue to the next phase called &lt;strong&gt;Predict&lt;/strong&gt;.&lt;/p&gt;</v>
      </c>
      <c r="E73" s="7" t="str">
        <f ca="1">IFERROR(__xludf.DUMMYFUNCTION("""COMPUTED_VALUE"""),"No artifact embedded")</f>
        <v>No artifact embedded</v>
      </c>
      <c r="F73" s="7"/>
      <c r="G73" s="8"/>
      <c r="H73" s="8"/>
      <c r="I73" s="8"/>
      <c r="J73" s="8"/>
      <c r="K73" s="9"/>
      <c r="L73" s="9"/>
      <c r="M73" s="9"/>
      <c r="N73" s="9"/>
      <c r="O73" s="10"/>
      <c r="P73" s="10"/>
      <c r="Q73" s="10"/>
      <c r="R73" s="10"/>
      <c r="S73" s="10"/>
    </row>
    <row r="74" spans="1:19" ht="25" customHeight="1" x14ac:dyDescent="0.2">
      <c r="A74" s="6" t="str">
        <f ca="1">IFERROR(__xludf.DUMMYFUNCTION("""COMPUTED_VALUE"""),"How do light and temperature affect photosynthesis in plants? - Version A")</f>
        <v>How do light and temperature affect photosynthesis in plants? - Version A</v>
      </c>
      <c r="B74" s="6" t="str">
        <f ca="1">IFERROR(__xludf.DUMMYFUNCTION("""COMPUTED_VALUE"""),"Space")</f>
        <v>Space</v>
      </c>
      <c r="C74" s="6" t="str">
        <f ca="1">IFERROR(__xludf.DUMMYFUNCTION("""COMPUTED_VALUE"""),"Predict")</f>
        <v>Predict</v>
      </c>
      <c r="D74" s="7" t="str">
        <f ca="1">IFERROR(__xludf.DUMMYFUNCTION("""COMPUTED_VALUE"""),"No task description")</f>
        <v>No task description</v>
      </c>
      <c r="E74" s="7" t="str">
        <f ca="1">IFERROR(__xludf.DUMMYFUNCTION("""COMPUTED_VALUE"""),"No artifact embedded")</f>
        <v>No artifact embedded</v>
      </c>
      <c r="F74" s="7"/>
      <c r="G74" s="8"/>
      <c r="H74" s="8"/>
      <c r="I74" s="8"/>
      <c r="J74" s="8"/>
      <c r="K74" s="9"/>
      <c r="L74" s="9"/>
      <c r="M74" s="9"/>
      <c r="N74" s="9"/>
      <c r="O74" s="10"/>
      <c r="P74" s="10"/>
      <c r="Q74" s="10"/>
      <c r="R74" s="10"/>
      <c r="S74" s="10"/>
    </row>
    <row r="75" spans="1:19" ht="133" customHeight="1" x14ac:dyDescent="0.2">
      <c r="A75" s="6" t="str">
        <f ca="1">IFERROR(__xludf.DUMMYFUNCTION("""COMPUTED_VALUE"""),"How do light and temperature affect photosynthesis in plants? - Version A")</f>
        <v>How do light and temperature affect photosynthesis in plants? - Version A</v>
      </c>
      <c r="B75" s="6" t="str">
        <f ca="1">IFERROR(__xludf.DUMMYFUNCTION("""COMPUTED_VALUE"""),"Resource")</f>
        <v>Resource</v>
      </c>
      <c r="C75" s="6" t="str">
        <f ca="1">IFERROR(__xludf.DUMMYFUNCTION("""COMPUTED_VALUE"""),"tekst3.graasp")</f>
        <v>tekst3.graasp</v>
      </c>
      <c r="D75" s="7" t="str">
        <f ca="1">IFERROR(__xludf.DUMMYFUNCTION("""COMPUTED_VALUE"""),"&lt;p&gt;&lt;strong&gt;Good job!&lt;/strong&gt; You have completed the first half of this lesson. After answering the two questions below, you will begin with a new experiment.&lt;/p&gt;")</f>
        <v>&lt;p&gt;&lt;strong&gt;Good job!&lt;/strong&gt; You have completed the first half of this lesson. After answering the two questions below, you will begin with a new experiment.&lt;/p&gt;</v>
      </c>
      <c r="E75" s="7" t="str">
        <f ca="1">IFERROR(__xludf.DUMMYFUNCTION("""COMPUTED_VALUE"""),"No artifact embedded")</f>
        <v>No artifact embedded</v>
      </c>
      <c r="F75" s="7"/>
      <c r="G75" s="8"/>
      <c r="H75" s="8"/>
      <c r="I75" s="8"/>
      <c r="J75" s="8"/>
      <c r="K75" s="9"/>
      <c r="L75" s="9"/>
      <c r="M75" s="9"/>
      <c r="N75" s="9"/>
      <c r="O75" s="10"/>
      <c r="P75" s="10"/>
      <c r="Q75" s="10"/>
      <c r="R75" s="10"/>
      <c r="S75" s="10"/>
    </row>
    <row r="76" spans="1:19" ht="274" customHeight="1" x14ac:dyDescent="0.2">
      <c r="A76" s="6" t="str">
        <f ca="1">IFERROR(__xludf.DUMMYFUNCTION("""COMPUTED_VALUE"""),"How do light and temperature affect photosynthesis in plants? - Version A")</f>
        <v>How do light and temperature affect photosynthesis in plants? - Version A</v>
      </c>
      <c r="B76" s="6" t="str">
        <f ca="1">IFERROR(__xludf.DUMMYFUNCTION("""COMPUTED_VALUE"""),"Application")</f>
        <v>Application</v>
      </c>
      <c r="C76" s="6" t="str">
        <f ca="1">IFERROR(__xludf.DUMMYFUNCTION("""COMPUTED_VALUE"""),"Quiz Tool")</f>
        <v>Quiz Tool</v>
      </c>
      <c r="D76" s="7" t="str">
        <f ca="1">IFERROR(__xludf.DUMMYFUNCTION("""COMPUTED_VALUE"""),"No task description")</f>
        <v>No task description</v>
      </c>
      <c r="E76"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6" s="7"/>
      <c r="G76" s="8"/>
      <c r="H76" s="8"/>
      <c r="I76" s="8"/>
      <c r="J76" s="8"/>
      <c r="K76" s="9"/>
      <c r="L76" s="9"/>
      <c r="M76" s="9"/>
      <c r="N76" s="9"/>
      <c r="O76" s="10"/>
      <c r="P76" s="10"/>
      <c r="Q76" s="10"/>
      <c r="R76" s="10"/>
      <c r="S76" s="10"/>
    </row>
    <row r="77" spans="1:19" ht="409.5" customHeight="1" x14ac:dyDescent="0.2">
      <c r="A77" s="6" t="str">
        <f ca="1">IFERROR(__xludf.DUMMYFUNCTION("""COMPUTED_VALUE"""),"How do light and temperature affect photosynthesis in plants? - Version A")</f>
        <v>How do light and temperature affect photosynthesis in plants? - Version A</v>
      </c>
      <c r="B77" s="6" t="str">
        <f ca="1">IFERROR(__xludf.DUMMYFUNCTION("""COMPUTED_VALUE"""),"Resource")</f>
        <v>Resource</v>
      </c>
      <c r="C77" s="6" t="str">
        <f ca="1">IFERROR(__xludf.DUMMYFUNCTION("""COMPUTED_VALUE"""),"tekst1.graasp")</f>
        <v>tekst1.graasp</v>
      </c>
      <c r="D77" s="7" t="str">
        <f ca="1">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&lt;hr&gt;&lt;p&gt;Now you will proceed to a new experiment. In the previous simulation it was not possible to change the water temperature in the aquarium. However, in the next simulation you will be able to change the temperature. For the remaining tasks you are to work individually.&lt;/p&gt;&lt;p&gt;To prepare for the new experiment, use the scratchpad tool below to formulate a prediction (hypothesis) based on the following research question:&lt;/p&gt;&lt;p&gt;&lt;strong&gt;How does photosynthesis in aquarium plants depend on temperature?&lt;/strong&gt;&lt;/p&gt;</v>
      </c>
      <c r="E77" s="7" t="str">
        <f ca="1">IFERROR(__xludf.DUMMYFUNCTION("""COMPUTED_VALUE"""),"No artifact embedded")</f>
        <v>No artifact embedded</v>
      </c>
      <c r="F77" s="7"/>
      <c r="G77" s="8"/>
      <c r="H77" s="8"/>
      <c r="I77" s="8"/>
      <c r="J77" s="8"/>
      <c r="K77" s="9"/>
      <c r="L77" s="9"/>
      <c r="M77" s="9"/>
      <c r="N77" s="9"/>
      <c r="O77" s="10"/>
      <c r="P77" s="10"/>
      <c r="Q77" s="10"/>
      <c r="R77" s="10"/>
      <c r="S77" s="10"/>
    </row>
    <row r="78" spans="1:19" ht="409.5" customHeight="1" x14ac:dyDescent="0.2">
      <c r="A78" s="6" t="str">
        <f ca="1">IFERROR(__xludf.DUMMYFUNCTION("""COMPUTED_VALUE"""),"How do light and temperature affect photosynthesis in plants? - Version A")</f>
        <v>How do light and temperature affect photosynthesis in plants? - Version A</v>
      </c>
      <c r="B78" s="6" t="str">
        <f ca="1">IFERROR(__xludf.DUMMYFUNCTION("""COMPUTED_VALUE"""),"Application")</f>
        <v>Application</v>
      </c>
      <c r="C78" s="6" t="str">
        <f ca="1">IFERROR(__xludf.DUMMYFUNCTION("""COMPUTED_VALUE"""),"Hypothesis Scratchpad")</f>
        <v>Hypothesis Scratchpad</v>
      </c>
      <c r="D78" s="7" t="str">
        <f ca="1">IFERROR(__xludf.DUMMYFUNCTION("""COMPUTED_VALUE"""),"No task description")</f>
        <v>No task description</v>
      </c>
      <c r="E78"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78" s="7"/>
      <c r="G78" s="8"/>
      <c r="H78" s="8"/>
      <c r="I78" s="8"/>
      <c r="J78" s="8"/>
      <c r="K78" s="9"/>
      <c r="L78" s="9"/>
      <c r="M78" s="9"/>
      <c r="N78" s="9"/>
      <c r="O78" s="10"/>
      <c r="P78" s="10"/>
      <c r="Q78" s="10"/>
      <c r="R78" s="10"/>
      <c r="S78" s="10"/>
    </row>
    <row r="79" spans="1:19" ht="157" customHeight="1" x14ac:dyDescent="0.2">
      <c r="A79" s="6" t="str">
        <f ca="1">IFERROR(__xludf.DUMMYFUNCTION("""COMPUTED_VALUE"""),"How do light and temperature affect photosynthesis in plants? - Version A")</f>
        <v>How do light and temperature affect photosynthesis in plants? - Version A</v>
      </c>
      <c r="B79" s="6" t="str">
        <f ca="1">IFERROR(__xludf.DUMMYFUNCTION("""COMPUTED_VALUE"""),"Resource")</f>
        <v>Resource</v>
      </c>
      <c r="C79" s="6" t="str">
        <f ca="1">IFERROR(__xludf.DUMMYFUNCTION("""COMPUTED_VALUE"""),"tekst2.graasp")</f>
        <v>tekst2.graasp</v>
      </c>
      <c r="D79" s="7" t="str">
        <f ca="1">IFERROR(__xludf.DUMMYFUNCTION("""COMPUTED_VALUE"""),"&lt;p&gt;When you finished making your prediction (hypothesis) click on the tab &lt;strong&gt;Investigate&lt;/strong&gt; in the top of your screen.&lt;br&gt;&lt;/p&gt;&lt;p&gt;&lt;br&gt;&lt;/p&gt;&lt;p&gt;&lt;br&gt;&lt;/p&gt;&lt;p&gt;&lt;br&gt;&lt;/p&gt;&lt;p&gt;&lt;br&gt;&lt;/p&gt;")</f>
        <v>&lt;p&gt;When you finished making your prediction (hypothesis) click on the tab &lt;strong&gt;Investigate&lt;/strong&gt; in the top of your screen.&lt;br&gt;&lt;/p&gt;&lt;p&gt;&lt;br&gt;&lt;/p&gt;&lt;p&gt;&lt;br&gt;&lt;/p&gt;&lt;p&gt;&lt;br&gt;&lt;/p&gt;&lt;p&gt;&lt;br&gt;&lt;/p&gt;</v>
      </c>
      <c r="E79" s="7" t="str">
        <f ca="1">IFERROR(__xludf.DUMMYFUNCTION("""COMPUTED_VALUE"""),"No artifact embedded")</f>
        <v>No artifact embedded</v>
      </c>
      <c r="F79" s="7"/>
      <c r="G79" s="8"/>
      <c r="H79" s="8"/>
      <c r="I79" s="8"/>
      <c r="J79" s="8"/>
      <c r="K79" s="9"/>
      <c r="L79" s="9"/>
      <c r="M79" s="9"/>
      <c r="N79" s="9"/>
      <c r="O79" s="10"/>
      <c r="P79" s="10"/>
      <c r="Q79" s="10"/>
      <c r="R79" s="10"/>
      <c r="S79" s="10"/>
    </row>
    <row r="80" spans="1:19" ht="25" customHeight="1" x14ac:dyDescent="0.2">
      <c r="A80" s="6" t="str">
        <f ca="1">IFERROR(__xludf.DUMMYFUNCTION("""COMPUTED_VALUE"""),"How do light and temperature affect photosynthesis in plants? - Version A")</f>
        <v>How do light and temperature affect photosynthesis in plants? - Version A</v>
      </c>
      <c r="B80" s="6" t="str">
        <f ca="1">IFERROR(__xludf.DUMMYFUNCTION("""COMPUTED_VALUE"""),"Space")</f>
        <v>Space</v>
      </c>
      <c r="C80" s="6" t="str">
        <f ca="1">IFERROR(__xludf.DUMMYFUNCTION("""COMPUTED_VALUE"""),"Investigation")</f>
        <v>Investigation</v>
      </c>
      <c r="D80" s="7" t="str">
        <f ca="1">IFERROR(__xludf.DUMMYFUNCTION("""COMPUTED_VALUE"""),"No task description")</f>
        <v>No task description</v>
      </c>
      <c r="E80" s="7" t="str">
        <f ca="1">IFERROR(__xludf.DUMMYFUNCTION("""COMPUTED_VALUE"""),"No artifact embedded")</f>
        <v>No artifact embedded</v>
      </c>
      <c r="F80" s="7"/>
      <c r="G80" s="8"/>
      <c r="H80" s="8"/>
      <c r="I80" s="8"/>
      <c r="J80" s="8"/>
      <c r="K80" s="9"/>
      <c r="L80" s="9"/>
      <c r="M80" s="9"/>
      <c r="N80" s="9"/>
      <c r="O80" s="10"/>
      <c r="P80" s="10"/>
      <c r="Q80" s="10"/>
      <c r="R80" s="10"/>
      <c r="S80" s="10"/>
    </row>
    <row r="81" spans="1:19" ht="274" customHeight="1" x14ac:dyDescent="0.2">
      <c r="A81" s="6" t="str">
        <f ca="1">IFERROR(__xludf.DUMMYFUNCTION("""COMPUTED_VALUE"""),"How do light and temperature affect photosynthesis in plants? - Version A")</f>
        <v>How do light and temperature affect photosynthesis in plants? - Version A</v>
      </c>
      <c r="B81" s="6" t="str">
        <f ca="1">IFERROR(__xludf.DUMMYFUNCTION("""COMPUTED_VALUE"""),"Resource")</f>
        <v>Resource</v>
      </c>
      <c r="C81" s="6" t="str">
        <f ca="1">IFERROR(__xludf.DUMMYFUNCTION("""COMPUTED_VALUE"""),"Vaatluste selgitus.graasp")</f>
        <v>Vaatluste selgitus.graasp</v>
      </c>
      <c r="D81" s="7" t="str">
        <f ca="1">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&lt;p&gt;Here you will test whether your prediction (hypothesis) is confirmed or disconfirmed by the results of making experiments.&lt;/p&gt;&lt;p&gt;In the simulation below you can make experiments testing how light intensity and temperature affect photosynthesis in an aquarium plant. Record your results using the "Observation" tool.&lt;/p&gt;</v>
      </c>
      <c r="E81" s="7" t="str">
        <f ca="1">IFERROR(__xludf.DUMMYFUNCTION("""COMPUTED_VALUE"""),"No artifact embedded")</f>
        <v>No artifact embedded</v>
      </c>
      <c r="F81" s="7"/>
      <c r="G81" s="8"/>
      <c r="H81" s="8"/>
      <c r="I81" s="8"/>
      <c r="J81" s="8"/>
      <c r="K81" s="9"/>
      <c r="L81" s="9"/>
      <c r="M81" s="9"/>
      <c r="N81" s="9"/>
      <c r="O81" s="10"/>
      <c r="P81" s="10"/>
      <c r="Q81" s="10"/>
      <c r="R81" s="10"/>
      <c r="S81" s="10"/>
    </row>
    <row r="82" spans="1:19" ht="318" customHeight="1" x14ac:dyDescent="0.2">
      <c r="A82" s="6" t="str">
        <f ca="1">IFERROR(__xludf.DUMMYFUNCTION("""COMPUTED_VALUE"""),"How do light and temperature affect photosynthesis in plants? - Version A")</f>
        <v>How do light and temperature affect photosynthesis in plants? - Version A</v>
      </c>
      <c r="B82" s="6" t="str">
        <f ca="1">IFERROR(__xludf.DUMMYFUNCTION("""COMPUTED_VALUE"""),"Application")</f>
        <v>Application</v>
      </c>
      <c r="C82" s="6" t="str">
        <f ca="1">IFERROR(__xludf.DUMMYFUNCTION("""COMPUTED_VALUE"""),"Viewer")</f>
        <v>Viewer</v>
      </c>
      <c r="D82" s="7" t="str">
        <f ca="1">IFERROR(__xludf.DUMMYFUNCTION("""COMPUTED_VALUE"""),"No task description")</f>
        <v>No task description</v>
      </c>
      <c r="E82" s="7" t="str">
        <f ca="1">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Golabz app/lab: "&lt;p&gt;The viewer displays the content of another app in the ILS. It prevents the student from having to go back and forth between different phases, in order to consult an earlier result.&amp;nbsp;&lt;/p&gt;\r\n\r\n&lt;p&gt;The viewer can display the content of the concept mapper, hypothesis scratchpad, question scratchpad, data viewer, table tool, observation tool, name the frame and input/entry box.&lt;/p&gt;\r\n"</v>
      </c>
      <c r="F82" s="7"/>
      <c r="G82" s="8"/>
      <c r="H82" s="8"/>
      <c r="I82" s="8"/>
      <c r="J82" s="8"/>
      <c r="K82" s="9"/>
      <c r="L82" s="9"/>
      <c r="M82" s="9"/>
      <c r="N82" s="9"/>
      <c r="O82" s="10"/>
      <c r="P82" s="10"/>
      <c r="Q82" s="10"/>
      <c r="R82" s="10"/>
      <c r="S82" s="10"/>
    </row>
    <row r="83" spans="1:19" ht="409.5" customHeight="1" x14ac:dyDescent="0.2">
      <c r="A83" s="6" t="str">
        <f ca="1">IFERROR(__xludf.DUMMYFUNCTION("""COMPUTED_VALUE"""),"How do light and temperature affect photosynthesis in plants? - Version A")</f>
        <v>How do light and temperature affect photosynthesis in plants? - Version A</v>
      </c>
      <c r="B83" s="6" t="str">
        <f ca="1">IFERROR(__xludf.DUMMYFUNCTION("""COMPUTED_VALUE"""),"Application")</f>
        <v>Application</v>
      </c>
      <c r="C83" s="6" t="str">
        <f ca="1">IFERROR(__xludf.DUMMYFUNCTION("""COMPUTED_VALUE"""),"Rate of Photosynthesis Lab (HTML5)")</f>
        <v>Rate of Photosynthesis Lab (HTML5)</v>
      </c>
      <c r="D83" s="7" t="str">
        <f ca="1">IFERROR(__xludf.DUMMYFUNCTION("""COMPUTED_VALUE"""),"No task description")</f>
        <v>No task description</v>
      </c>
      <c r="E83" s="7" t="str">
        <f ca="1">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Golabz app/lab: &lt;p&gt;This lab is an abridged Html5 version of the Flash-based &lt;a href="https://www.golabz.eu/lab/photolab"&gt;Photolab&lt;/a&gt;. It has been optimized to work with tablet computers.&lt;/p&gt;\r\n\r\n&lt;p&gt;The lab allows a user to vary the light intensity and temperature conditions of an aquarium plant and observe how fast it is&amp;nbsp;photosynthesizing. The number of&amp;nbsp;oxygen bubbles the plant releases per minute is a measure of the rate of photosynthesis.&lt;/p&gt;\r\n\r\n&lt;p&gt;The rate of photosynthesis will increase with increasing light intensity. However, at high intensities the rate of photosynthesis does not increase as quickly anymore. The rate of photosynthesis is optimal at room temperaure (25 °C).&amp;nbsp; At low (10 °C)&amp;nbsp;and high temperatures (40 °C)&amp;nbsp;the rate of photosynthesis is not as efficient.&lt;/p&gt;\r\n'</v>
      </c>
      <c r="F83" s="7"/>
      <c r="G83" s="8"/>
      <c r="H83" s="8"/>
      <c r="I83" s="8"/>
      <c r="J83" s="8"/>
      <c r="K83" s="9"/>
      <c r="L83" s="9"/>
      <c r="M83" s="9"/>
      <c r="N83" s="9"/>
      <c r="O83" s="10"/>
      <c r="P83" s="10"/>
      <c r="Q83" s="10"/>
      <c r="R83" s="10"/>
      <c r="S83" s="10"/>
    </row>
    <row r="84" spans="1:19" ht="263" customHeight="1" x14ac:dyDescent="0.2">
      <c r="A84" s="6" t="str">
        <f ca="1">IFERROR(__xludf.DUMMYFUNCTION("""COMPUTED_VALUE"""),"How do light and temperature affect photosynthesis in plants? - Version A")</f>
        <v>How do light and temperature affect photosynthesis in plants? - Version A</v>
      </c>
      <c r="B84" s="6" t="str">
        <f ca="1">IFERROR(__xludf.DUMMYFUNCTION("""COMPUTED_VALUE"""),"Resource")</f>
        <v>Resource</v>
      </c>
      <c r="C84" s="6" t="str">
        <f ca="1">IFERROR(__xludf.DUMMYFUNCTION("""COMPUTED_VALUE"""),"Vaatluste selgitus 2.graasp")</f>
        <v>Vaatluste selgitus 2.graasp</v>
      </c>
      <c r="D84" s="7" t="str">
        <f ca="1">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&lt;p&gt;Make sure you collect enough information to determine if your prediction (hypothesis) should be accepted or rejected. This means making several experiments. Write your results using the Observation tool below so that in the next step you can review your data to make a final conclusion.&lt;/p&gt;</v>
      </c>
      <c r="E84" s="7" t="str">
        <f ca="1">IFERROR(__xludf.DUMMYFUNCTION("""COMPUTED_VALUE"""),"No artifact embedded")</f>
        <v>No artifact embedded</v>
      </c>
      <c r="F84" s="7"/>
      <c r="G84" s="8"/>
      <c r="H84" s="8"/>
      <c r="I84" s="8"/>
      <c r="J84" s="8"/>
      <c r="K84" s="9"/>
      <c r="L84" s="9"/>
      <c r="M84" s="9"/>
      <c r="N84" s="9"/>
      <c r="O84" s="10"/>
      <c r="P84" s="10"/>
      <c r="Q84" s="10"/>
      <c r="R84" s="10"/>
      <c r="S84" s="10"/>
    </row>
    <row r="85" spans="1:19" ht="384" customHeight="1" x14ac:dyDescent="0.2">
      <c r="A85" s="6" t="str">
        <f ca="1">IFERROR(__xludf.DUMMYFUNCTION("""COMPUTED_VALUE"""),"How do light and temperature affect photosynthesis in plants? - Version A")</f>
        <v>How do light and temperature affect photosynthesis in plants? - Version A</v>
      </c>
      <c r="B85" s="6" t="str">
        <f ca="1">IFERROR(__xludf.DUMMYFUNCTION("""COMPUTED_VALUE"""),"Application")</f>
        <v>Application</v>
      </c>
      <c r="C85" s="6" t="str">
        <f ca="1">IFERROR(__xludf.DUMMYFUNCTION("""COMPUTED_VALUE"""),"Observation Tool")</f>
        <v>Observation Tool</v>
      </c>
      <c r="D85" s="7" t="str">
        <f ca="1">IFERROR(__xludf.DUMMYFUNCTION("""COMPUTED_VALUE"""),"No task description")</f>
        <v>No task description</v>
      </c>
      <c r="E85"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5" s="7"/>
      <c r="G85" s="8"/>
      <c r="H85" s="8"/>
      <c r="I85" s="8"/>
      <c r="J85" s="8"/>
      <c r="K85" s="9"/>
      <c r="L85" s="9"/>
      <c r="M85" s="9"/>
      <c r="N85" s="9"/>
      <c r="O85" s="10"/>
      <c r="P85" s="10"/>
      <c r="Q85" s="10"/>
      <c r="R85" s="10"/>
      <c r="S85" s="10"/>
    </row>
    <row r="86" spans="1:19" ht="169" customHeight="1" x14ac:dyDescent="0.2">
      <c r="A86" s="6" t="str">
        <f ca="1">IFERROR(__xludf.DUMMYFUNCTION("""COMPUTED_VALUE"""),"How do light and temperature affect photosynthesis in plants? - Version A")</f>
        <v>How do light and temperature affect photosynthesis in plants? - Version A</v>
      </c>
      <c r="B86" s="6" t="str">
        <f ca="1">IFERROR(__xludf.DUMMYFUNCTION("""COMPUTED_VALUE"""),"Resource")</f>
        <v>Resource</v>
      </c>
      <c r="C86" s="6" t="str">
        <f ca="1">IFERROR(__xludf.DUMMYFUNCTION("""COMPUTED_VALUE"""),"Vaatlused edasi.graasp")</f>
        <v>Vaatlused edasi.graasp</v>
      </c>
      <c r="D86" s="7" t="str">
        <f ca="1">IFERROR(__xludf.DUMMYFUNCTION("""COMPUTED_VALUE"""),"&lt;p&gt;When you have collected enough information to address your hypothesis, click on the tab &lt;strong&gt;Conclusion&lt;/strong&gt; on the top of your screen.&lt;/p&gt;&lt;p&gt;&lt;br&gt;&lt;/p&gt;&lt;p&gt;&lt;br&gt;&lt;/p&gt;&lt;p&gt;&lt;br&gt;&lt;/p&gt;")</f>
        <v>&lt;p&gt;When you have collected enough information to address your hypothesis, click on the tab &lt;strong&gt;Conclusion&lt;/strong&gt; on the top of your screen.&lt;/p&gt;&lt;p&gt;&lt;br&gt;&lt;/p&gt;&lt;p&gt;&lt;br&gt;&lt;/p&gt;&lt;p&gt;&lt;br&gt;&lt;/p&gt;</v>
      </c>
      <c r="E86" s="7" t="str">
        <f ca="1">IFERROR(__xludf.DUMMYFUNCTION("""COMPUTED_VALUE"""),"No artifact embedded")</f>
        <v>No artifact embedded</v>
      </c>
      <c r="F86" s="7"/>
      <c r="G86" s="8"/>
      <c r="H86" s="8"/>
      <c r="I86" s="8"/>
      <c r="J86" s="8"/>
      <c r="K86" s="9"/>
      <c r="L86" s="9"/>
      <c r="M86" s="9"/>
      <c r="N86" s="9"/>
      <c r="O86" s="10"/>
      <c r="P86" s="10"/>
      <c r="Q86" s="10"/>
      <c r="R86" s="10"/>
      <c r="S86" s="10"/>
    </row>
    <row r="87" spans="1:19" ht="25" customHeight="1" x14ac:dyDescent="0.2">
      <c r="A87" s="6" t="str">
        <f ca="1">IFERROR(__xludf.DUMMYFUNCTION("""COMPUTED_VALUE"""),"How do light and temperature affect photosynthesis in plants? - Version A")</f>
        <v>How do light and temperature affect photosynthesis in plants? - Version A</v>
      </c>
      <c r="B87" s="6" t="str">
        <f ca="1">IFERROR(__xludf.DUMMYFUNCTION("""COMPUTED_VALUE"""),"Space")</f>
        <v>Space</v>
      </c>
      <c r="C87" s="6" t="str">
        <f ca="1">IFERROR(__xludf.DUMMYFUNCTION("""COMPUTED_VALUE"""),"Conclusion")</f>
        <v>Conclusion</v>
      </c>
      <c r="D87" s="7" t="str">
        <f ca="1">IFERROR(__xludf.DUMMYFUNCTION("""COMPUTED_VALUE"""),"No task description")</f>
        <v>No task description</v>
      </c>
      <c r="E87" s="7" t="str">
        <f ca="1">IFERROR(__xludf.DUMMYFUNCTION("""COMPUTED_VALUE"""),"No artifact embedded")</f>
        <v>No artifact embedded</v>
      </c>
      <c r="F87" s="7"/>
      <c r="G87" s="8"/>
      <c r="H87" s="8"/>
      <c r="I87" s="8"/>
      <c r="J87" s="8"/>
      <c r="K87" s="9"/>
      <c r="L87" s="9"/>
      <c r="M87" s="9"/>
      <c r="N87" s="9"/>
      <c r="O87" s="10"/>
      <c r="P87" s="10"/>
      <c r="Q87" s="10"/>
      <c r="R87" s="10"/>
      <c r="S87" s="10"/>
    </row>
    <row r="88" spans="1:19" ht="351" customHeight="1" x14ac:dyDescent="0.2">
      <c r="A88" s="6" t="str">
        <f ca="1">IFERROR(__xludf.DUMMYFUNCTION("""COMPUTED_VALUE"""),"How do light and temperature affect photosynthesis in plants? - Version A")</f>
        <v>How do light and temperature affect photosynthesis in plants? - Version A</v>
      </c>
      <c r="B88" s="6" t="str">
        <f ca="1">IFERROR(__xludf.DUMMYFUNCTION("""COMPUTED_VALUE"""),"Resource")</f>
        <v>Resource</v>
      </c>
      <c r="C88" s="6" t="str">
        <f ca="1">IFERROR(__xludf.DUMMYFUNCTION("""COMPUTED_VALUE"""),"tekst1.graasp")</f>
        <v>tekst1.graasp</v>
      </c>
      <c r="D88" s="7" t="str">
        <f ca="1">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&lt;p&gt;&lt;em&gt;You have reached the Concluson phase. Based on the evidence you collected you are now ready to state your final conclusion.&lt;/em&gt;&lt;/p&gt;&lt;p&gt;Use the Conclusion tool to write your final conclusion. But first, add your observations to the box labeled "Please add data" by clikcing on the + button and selecting each of the observations to add. &lt;/p&gt;&lt;p&gt;Finally, explain whether you chose to accept or reject your hypothesis when writing your final conclusion.&lt;/p&gt;</v>
      </c>
      <c r="E88" s="7" t="str">
        <f ca="1">IFERROR(__xludf.DUMMYFUNCTION("""COMPUTED_VALUE"""),"No artifact embedded")</f>
        <v>No artifact embedded</v>
      </c>
      <c r="F88" s="7"/>
      <c r="G88" s="8"/>
      <c r="H88" s="8"/>
      <c r="I88" s="8"/>
      <c r="J88" s="8"/>
      <c r="K88" s="9"/>
      <c r="L88" s="9"/>
      <c r="M88" s="9"/>
      <c r="N88" s="9"/>
      <c r="O88" s="10"/>
      <c r="P88" s="10"/>
      <c r="Q88" s="10"/>
      <c r="R88" s="10"/>
      <c r="S88" s="10"/>
    </row>
    <row r="89" spans="1:19" ht="409.5" customHeight="1" x14ac:dyDescent="0.2">
      <c r="A89" s="6" t="str">
        <f ca="1">IFERROR(__xludf.DUMMYFUNCTION("""COMPUTED_VALUE"""),"How do light and temperature affect photosynthesis in plants? - Version A")</f>
        <v>How do light and temperature affect photosynthesis in plants? - Version A</v>
      </c>
      <c r="B89" s="6" t="str">
        <f ca="1">IFERROR(__xludf.DUMMYFUNCTION("""COMPUTED_VALUE"""),"Application")</f>
        <v>Application</v>
      </c>
      <c r="C89" s="6" t="str">
        <f ca="1">IFERROR(__xludf.DUMMYFUNCTION("""COMPUTED_VALUE"""),"Conclusion Tool")</f>
        <v>Conclusion Tool</v>
      </c>
      <c r="D89" s="7" t="str">
        <f ca="1">IFERROR(__xludf.DUMMYFUNCTION("""COMPUTED_VALUE"""),"No task description")</f>
        <v>No task description</v>
      </c>
      <c r="E89"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89" s="7"/>
      <c r="G89" s="8"/>
      <c r="H89" s="8"/>
      <c r="I89" s="8"/>
      <c r="J89" s="8"/>
      <c r="K89" s="9"/>
      <c r="L89" s="9"/>
      <c r="M89" s="9"/>
      <c r="N89" s="9"/>
      <c r="O89" s="10"/>
      <c r="P89" s="10"/>
      <c r="Q89" s="10"/>
      <c r="R89" s="10"/>
      <c r="S89" s="10"/>
    </row>
    <row r="90" spans="1:19" ht="145" customHeight="1" x14ac:dyDescent="0.2">
      <c r="A90" s="6" t="str">
        <f ca="1">IFERROR(__xludf.DUMMYFUNCTION("""COMPUTED_VALUE"""),"How do light and temperature affect photosynthesis in plants? - Version A")</f>
        <v>How do light and temperature affect photosynthesis in plants? - Version A</v>
      </c>
      <c r="B90" s="6" t="str">
        <f ca="1">IFERROR(__xludf.DUMMYFUNCTION("""COMPUTED_VALUE"""),"Resource")</f>
        <v>Resource</v>
      </c>
      <c r="C90" s="6" t="str">
        <f ca="1">IFERROR(__xludf.DUMMYFUNCTION("""COMPUTED_VALUE"""),"tekst2.graasp")</f>
        <v>tekst2.graasp</v>
      </c>
      <c r="D90" s="7" t="str">
        <f ca="1">IFERROR(__xludf.DUMMYFUNCTION("""COMPUTED_VALUE"""),"&lt;p&gt;&lt;strong&gt;All done? Very good you have now finished with this assignment!&lt;/strong&gt;&lt;/p&gt;&lt;p&gt;&lt;strong&gt;&lt;br&gt;&lt;/strong&gt;&lt;/p&gt;&lt;p&gt;&lt;strong&gt;&lt;br&gt;&lt;/strong&gt;&lt;/p&gt;&lt;p&gt;&lt;strong&gt;&lt;br&gt;&lt;/strong&gt;&lt;/p&gt;")</f>
        <v>&lt;p&gt;&lt;strong&gt;All done? Very good you have now finished with this assignment!&lt;/strong&gt;&lt;/p&gt;&lt;p&gt;&lt;strong&gt;&lt;br&gt;&lt;/strong&gt;&lt;/p&gt;&lt;p&gt;&lt;strong&gt;&lt;br&gt;&lt;/strong&gt;&lt;/p&gt;&lt;p&gt;&lt;strong&gt;&lt;br&gt;&lt;/strong&gt;&lt;/p&gt;</v>
      </c>
      <c r="E90" s="7" t="str">
        <f ca="1">IFERROR(__xludf.DUMMYFUNCTION("""COMPUTED_VALUE"""),"No artifact embedded")</f>
        <v>No artifact embedded</v>
      </c>
      <c r="F90" s="7"/>
      <c r="G90" s="8"/>
      <c r="H90" s="8"/>
      <c r="I90" s="8"/>
      <c r="J90" s="8"/>
      <c r="K90" s="9"/>
      <c r="L90" s="9"/>
      <c r="M90" s="9"/>
      <c r="N90" s="9"/>
      <c r="O90" s="10"/>
      <c r="P90" s="10"/>
      <c r="Q90" s="10"/>
      <c r="R90" s="10"/>
      <c r="S90"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Codes</vt:lpstr>
      <vt:lpstr>human</vt:lpstr>
      <vt:lpstr>Context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SABAN</dc:creator>
  <cp:lastModifiedBy>MOHAMED SABAN</cp:lastModifiedBy>
  <dcterms:created xsi:type="dcterms:W3CDTF">2025-02-15T23:24:45Z</dcterms:created>
  <dcterms:modified xsi:type="dcterms:W3CDTF">2025-02-18T11:37:22Z</dcterms:modified>
</cp:coreProperties>
</file>